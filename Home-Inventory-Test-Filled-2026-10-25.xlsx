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Handover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'Inventory'!$A$1:$M$201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164" fontId="0" fillId="2" borderId="0" pivotButton="0" quotePrefix="0" xfId="0"/>
    <xf numFmtId="3" fontId="0" fillId="2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2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START HERE — Home Inventory for Insurance &amp; Personal Records</t>
        </is>
      </c>
    </row>
    <row r="3">
      <c r="A3" s="2" t="inlineStr">
        <is>
          <t>This sheet helps you list the belongings worth recording, room by room — so you can search it, total it, and hand it over when it matters.</t>
        </is>
      </c>
    </row>
    <row r="4">
      <c r="A4" s="2" t="inlineStr">
        <is>
          <t>This product is a personal property record organizer. It is not insurance advice; it does not promise that any insurer will accept or pay a claim; estimated values are your own figures and have no professional appraisal effect. Whether something is covered, and for how much, is between you and your insurer.</t>
        </is>
      </c>
    </row>
    <row r="6">
      <c r="A6" s="3" t="inlineStr">
        <is>
          <t>MAKE YOUR OWN COPY (GOOGLE SHEETS)</t>
        </is>
      </c>
    </row>
    <row r="7">
      <c r="A7" s="2" t="inlineStr">
        <is>
          <t>1. Use the ready-made copy link provided with your download. It opens this sheet with the copy button ready.</t>
        </is>
      </c>
    </row>
    <row r="8">
      <c r="A8" s="2" t="inlineStr">
        <is>
          <t>2. Click "Make a copy". Google saves the copy into your own Drive, under your own account.</t>
        </is>
      </c>
    </row>
    <row r="9">
      <c r="A9" s="2" t="inlineStr">
        <is>
          <t>3. Rename it if you like, then open the Inventory tab and start with the light-blue cells.</t>
        </is>
      </c>
    </row>
    <row r="11">
      <c r="A11" s="2" t="inlineStr">
        <is>
          <t>Opened this sheet from Google Drive instead of the link? Go to File &gt; Make a copy — same result.</t>
        </is>
      </c>
    </row>
    <row r="13">
      <c r="A13" s="3" t="inlineStr">
        <is>
          <t>THEN, THE 30-SECOND START</t>
        </is>
      </c>
    </row>
    <row r="14">
      <c r="A14" s="2" t="inlineStr">
        <is>
          <t>On the Inventory tab: pick a room, type the item, how many, what it is worth, and where it is. That is all you ever type — totals, room summaries and the handover page work themselves out.</t>
        </is>
      </c>
    </row>
    <row r="16">
      <c r="A16" s="3" t="inlineStr">
        <is>
          <t>ONLY RECORD WHAT IS WORTH RECORDING</t>
        </is>
      </c>
    </row>
    <row r="17">
      <c r="A17" s="2" t="inlineStr">
        <is>
          <t>Do not list every spoon. Record the things you would need to describe if they were lost, damaged or handed over — valuable items, electronics, appliances, jewelry, tools. A short list you actually finish beats a full-house list you abandon.</t>
        </is>
      </c>
    </row>
    <row r="19">
      <c r="A19" s="3" t="inlineStr">
        <is>
          <t>PHOTOS — FILENAME OR LINK (THE DEFAULT WORKFLOW)</t>
        </is>
      </c>
    </row>
    <row r="20">
      <c r="A20" s="2" t="inlineStr">
        <is>
          <t>Walk room by room and take photos into one folder in your Drive. In the Photo filename / link column, write the photo filename or paste the link. The Handover page carries the photo list with it.</t>
        </is>
      </c>
    </row>
    <row r="21">
      <c r="A21" s="2" t="inlineStr">
        <is>
          <t>You can also insert images directly into cells, but that is not the default: phone photos in HEIC format are not supported, rows need manual height, and hundreds of embedded photos slow the sheet down.</t>
        </is>
      </c>
    </row>
    <row r="23">
      <c r="A23" s="3" t="inlineStr">
        <is>
          <t>SEARCH, FILTER AND THE ATTENTION LINE</t>
        </is>
      </c>
    </row>
    <row r="24">
      <c r="A24" s="2" t="inlineStr">
        <is>
          <t>Use the filter on the Inventory tab to search by room or category. On the Summary tab, type your own attention line — a single-item value, for example 500. Items at or above that value are flagged ★ and listed on the Summary tab. Leave the attention line blank and nothing is flagged. This line is yours; it is not an insurer limit and promises nothing about insurance.</t>
        </is>
      </c>
    </row>
    <row r="26">
      <c r="A26" s="3" t="inlineStr">
        <is>
          <t>HANDOVER AND BACKUP</t>
        </is>
      </c>
    </row>
    <row r="27">
      <c r="A27" s="2" t="inlineStr">
        <is>
          <t>Open the Handover tab for a one-page summary by room, total value and photo list. Print it or download it as PDF or Excel (File &gt; Download) to hand over. Keep the file in your own Google Drive and export a backup yourself — it does not depend on a seller subscription service.</t>
        </is>
      </c>
    </row>
    <row r="28">
      <c r="A28" s="2" t="inlineStr">
        <is>
          <t>No seller account is needed to use this sheet. Note: using a Google Sheets online copy usually needs a Google account.</t>
        </is>
      </c>
    </row>
    <row r="30">
      <c r="A30" s="3" t="inlineStr">
        <is>
          <t>THREE QUESTIONS EVERYONE ASKS</t>
        </is>
      </c>
    </row>
    <row r="31">
      <c r="A31" s="2" t="inlineStr">
        <is>
          <t>Q: Why can't I type in this sheet? (It says "view-only".)</t>
        </is>
      </c>
    </row>
    <row r="32">
      <c r="A32" s="2" t="inlineStr">
        <is>
          <t>A: Because this is the shared master — it stays view-only so it can never be changed by accident. Your own copy (the steps above) is fully editable. If a cell still will not type, you are still in the master: your copy is the one saved in your own Google Drive.</t>
        </is>
      </c>
    </row>
    <row r="34">
      <c r="A34" s="2" t="inlineStr">
        <is>
          <t>Q: What if I only want to record a few expensive things?</t>
        </is>
      </c>
    </row>
    <row r="35">
      <c r="A35" s="2" t="inlineStr">
        <is>
          <t>A: That is exactly what this sheet is for. Record only what is worth recording — the totals and handover page work from whatever you entered.</t>
        </is>
      </c>
    </row>
    <row r="37">
      <c r="A37" s="2" t="inlineStr">
        <is>
          <t>Q: Can I use it on my phone?</t>
        </is>
      </c>
    </row>
    <row r="38">
      <c r="A38" s="2" t="inlineStr">
        <is>
          <t>A: Yes. Open your copy in the free Google Sheets app and type in the same light-blue cells — the formulas work the same on a phone, a tablet and a computer.</t>
        </is>
      </c>
    </row>
    <row r="40">
      <c r="A40" s="2" t="inlineStr">
        <is>
          <t>Start with the items worth recording. You do not need to fill every room before the totals and the handover page work.</t>
        </is>
      </c>
    </row>
    <row r="42">
      <c r="A42" s="2" t="inlineStr">
        <is>
          <t>Personal use only. Settled Days</t>
        </is>
      </c>
    </row>
  </sheetData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7" customWidth="1" min="3" max="3"/>
    <col width="18" customWidth="1" min="4" max="4"/>
    <col width="13" customWidth="1" min="5" max="5"/>
    <col width="14" customWidth="1" min="6" max="6"/>
    <col width="14" customWidth="1" min="7" max="7"/>
    <col width="18" customWidth="1" min="8" max="8"/>
    <col width="18" customWidth="1" min="9" max="9"/>
    <col width="12" customWidth="1" min="10" max="10"/>
    <col width="16" customWidth="1" min="11" max="11"/>
    <col width="24" customWidth="1" min="12" max="12"/>
    <col width="14" customWidth="1" min="13" max="13"/>
  </cols>
  <sheetData>
    <row r="1">
      <c r="A1" s="4" t="inlineStr">
        <is>
          <t>Room</t>
        </is>
      </c>
      <c r="B1" s="4" t="inlineStr">
        <is>
          <t>Item</t>
        </is>
      </c>
      <c r="C1" s="4" t="inlineStr">
        <is>
          <t>Qty</t>
        </is>
      </c>
      <c r="D1" s="4" t="inlineStr">
        <is>
          <t>Category</t>
        </is>
      </c>
      <c r="E1" s="4" t="inlineStr">
        <is>
          <t>Purchase date</t>
        </is>
      </c>
      <c r="F1" s="4" t="inlineStr">
        <is>
          <t>Purchase price</t>
        </is>
      </c>
      <c r="G1" s="4" t="inlineStr">
        <is>
          <t>Estimated value</t>
        </is>
      </c>
      <c r="H1" s="4" t="inlineStr">
        <is>
          <t>Serial number</t>
        </is>
      </c>
      <c r="I1" s="4" t="inlineStr">
        <is>
          <t>Location (in room)</t>
        </is>
      </c>
      <c r="J1" s="4" t="inlineStr">
        <is>
          <t>Belongs to</t>
        </is>
      </c>
      <c r="K1" s="4" t="inlineStr">
        <is>
          <t>Notes</t>
        </is>
      </c>
      <c r="L1" s="4" t="inlineStr">
        <is>
          <t>Photo filename / link</t>
        </is>
      </c>
      <c r="M1" s="4" t="inlineStr">
        <is>
          <t>Attention</t>
        </is>
      </c>
    </row>
    <row r="2">
      <c r="A2" s="5" t="inlineStr">
        <is>
          <t>Living Room</t>
        </is>
      </c>
      <c r="B2" s="6" t="inlineStr">
        <is>
          <t>55-inch television</t>
        </is>
      </c>
      <c r="C2" s="5" t="n">
        <v>1</v>
      </c>
      <c r="D2" s="5" t="inlineStr">
        <is>
          <t>Electronics</t>
        </is>
      </c>
      <c r="E2" s="7" t="n">
        <v>44270</v>
      </c>
      <c r="F2" s="8" t="n">
        <v>700</v>
      </c>
      <c r="G2" s="8" t="n">
        <v>500</v>
      </c>
      <c r="H2" s="5" t="inlineStr">
        <is>
          <t>EXAMPLE-SN-001</t>
        </is>
      </c>
      <c r="I2" s="6" t="inlineStr">
        <is>
          <t>On TV stand</t>
        </is>
      </c>
      <c r="J2" s="5" t="inlineStr">
        <is>
          <t>Me</t>
        </is>
      </c>
      <c r="K2" s="6" t="n"/>
      <c r="L2" s="5" t="inlineStr">
        <is>
          <t>EXAMPLE-photo-01.jpg</t>
        </is>
      </c>
      <c r="M2">
        <f>IF(OR($G2="",Summary!$B$2=""),"",IF($G2&gt;=Summary!$B$2,"★ Attention",""))</f>
        <v/>
      </c>
    </row>
    <row r="3">
      <c r="A3" s="5" t="inlineStr">
        <is>
          <t>Living Room</t>
        </is>
      </c>
      <c r="B3" s="6" t="inlineStr">
        <is>
          <t>Three-seat sofa</t>
        </is>
      </c>
      <c r="C3" s="5" t="n">
        <v>1</v>
      </c>
      <c r="D3" s="5" t="inlineStr">
        <is>
          <t>Furniture</t>
        </is>
      </c>
      <c r="E3" s="7" t="n">
        <v>43983</v>
      </c>
      <c r="F3" s="8" t="n">
        <v>900</v>
      </c>
      <c r="G3" s="8" t="n">
        <v>600</v>
      </c>
      <c r="H3" s="5" t="n"/>
      <c r="I3" s="6" t="inlineStr">
        <is>
          <t>Against north wall</t>
        </is>
      </c>
      <c r="J3" s="5" t="inlineStr">
        <is>
          <t>Me</t>
        </is>
      </c>
      <c r="K3" s="6" t="n"/>
      <c r="L3" s="5" t="n"/>
      <c r="M3">
        <f>IF(OR($G3="",Summary!$B$2=""),"",IF($G3&gt;=Summary!$B$2,"★ Attention",""))</f>
        <v/>
      </c>
    </row>
    <row r="4">
      <c r="A4" s="5" t="inlineStr">
        <is>
          <t>Living Room</t>
        </is>
      </c>
      <c r="B4" s="6" t="inlineStr">
        <is>
          <t>Soundbar</t>
        </is>
      </c>
      <c r="C4" s="5" t="n">
        <v>1</v>
      </c>
      <c r="D4" s="5" t="inlineStr">
        <is>
          <t>Electronics</t>
        </is>
      </c>
      <c r="E4" s="7" t="n">
        <v>44885</v>
      </c>
      <c r="F4" s="8" t="n">
        <v>200</v>
      </c>
      <c r="G4" s="8" t="n">
        <v>120</v>
      </c>
      <c r="H4" s="5" t="n"/>
      <c r="I4" s="6" t="inlineStr">
        <is>
          <t>Under TV</t>
        </is>
      </c>
      <c r="J4" s="5" t="inlineStr">
        <is>
          <t>Me</t>
        </is>
      </c>
      <c r="K4" s="6" t="n"/>
      <c r="L4" s="5" t="inlineStr">
        <is>
          <t>EXAMPLE-photo-02.jpg</t>
        </is>
      </c>
      <c r="M4">
        <f>IF(OR($G4="",Summary!$B$2=""),"",IF($G4&gt;=Summary!$B$2,"★ Attention",""))</f>
        <v/>
      </c>
    </row>
    <row r="5">
      <c r="A5" s="5" t="inlineStr">
        <is>
          <t>Living Room</t>
        </is>
      </c>
      <c r="B5" s="6" t="inlineStr">
        <is>
          <t>Floor lamp</t>
        </is>
      </c>
      <c r="C5" s="5" t="n">
        <v>2</v>
      </c>
      <c r="D5" s="5" t="inlineStr">
        <is>
          <t>Furniture</t>
        </is>
      </c>
      <c r="E5" s="7" t="n">
        <v>43687</v>
      </c>
      <c r="F5" s="8" t="n">
        <v>120</v>
      </c>
      <c r="G5" s="8" t="n">
        <v>60</v>
      </c>
      <c r="H5" s="5" t="n"/>
      <c r="I5" s="6" t="inlineStr">
        <is>
          <t>Corners</t>
        </is>
      </c>
      <c r="J5" s="5" t="inlineStr">
        <is>
          <t>Me</t>
        </is>
      </c>
      <c r="K5" s="6" t="n"/>
      <c r="L5" s="5" t="n"/>
      <c r="M5">
        <f>IF(OR($G5="",Summary!$B$2=""),"",IF($G5&gt;=Summary!$B$2,"★ Attention",""))</f>
        <v/>
      </c>
    </row>
    <row r="6">
      <c r="A6" s="5" t="inlineStr">
        <is>
          <t>Kitchen</t>
        </is>
      </c>
      <c r="B6" s="6" t="inlineStr">
        <is>
          <t>Refrigerator</t>
        </is>
      </c>
      <c r="C6" s="5" t="n">
        <v>1</v>
      </c>
      <c r="D6" s="5" t="inlineStr">
        <is>
          <t>Appliances</t>
        </is>
      </c>
      <c r="E6" s="7" t="n">
        <v>43842</v>
      </c>
      <c r="F6" s="8" t="n">
        <v>1100</v>
      </c>
      <c r="G6" s="8" t="n">
        <v>800</v>
      </c>
      <c r="H6" s="5" t="inlineStr">
        <is>
          <t>EXAMPLE-SN-002</t>
        </is>
      </c>
      <c r="I6" s="6" t="inlineStr">
        <is>
          <t>Kitchen</t>
        </is>
      </c>
      <c r="J6" s="5" t="inlineStr">
        <is>
          <t>Me</t>
        </is>
      </c>
      <c r="K6" s="6" t="n"/>
      <c r="L6" s="5" t="inlineStr">
        <is>
          <t>EXAMPLE-photo-03.jpg</t>
        </is>
      </c>
      <c r="M6">
        <f>IF(OR($G6="",Summary!$B$2=""),"",IF($G6&gt;=Summary!$B$2,"★ Attention",""))</f>
        <v/>
      </c>
    </row>
    <row r="7">
      <c r="A7" s="5" t="inlineStr">
        <is>
          <t>Kitchen</t>
        </is>
      </c>
      <c r="B7" s="6" t="inlineStr">
        <is>
          <t>Stand mixer</t>
        </is>
      </c>
      <c r="C7" s="5" t="n">
        <v>1</v>
      </c>
      <c r="D7" s="5" t="inlineStr">
        <is>
          <t>Appliances</t>
        </is>
      </c>
      <c r="E7" s="7" t="n">
        <v>44711</v>
      </c>
      <c r="F7" s="8" t="n">
        <v>300</v>
      </c>
      <c r="G7" s="8" t="n">
        <v>200</v>
      </c>
      <c r="H7" s="5" t="n"/>
      <c r="I7" s="6" t="inlineStr">
        <is>
          <t>Countertop</t>
        </is>
      </c>
      <c r="J7" s="5" t="inlineStr">
        <is>
          <t>Me</t>
        </is>
      </c>
      <c r="K7" s="6" t="n"/>
      <c r="L7" s="5" t="n"/>
      <c r="M7">
        <f>IF(OR($G7="",Summary!$B$2=""),"",IF($G7&gt;=Summary!$B$2,"★ Attention",""))</f>
        <v/>
      </c>
    </row>
    <row r="8">
      <c r="A8" s="5" t="inlineStr">
        <is>
          <t>Kitchen</t>
        </is>
      </c>
      <c r="B8" s="6" t="inlineStr">
        <is>
          <t>Knife set</t>
        </is>
      </c>
      <c r="C8" s="5" t="n">
        <v>1</v>
      </c>
      <c r="D8" s="5" t="inlineStr">
        <is>
          <t>Kitchenware</t>
        </is>
      </c>
      <c r="E8" s="7" t="n">
        <v>44535</v>
      </c>
      <c r="F8" s="8" t="n">
        <v>150</v>
      </c>
      <c r="G8" s="8" t="n">
        <v>90</v>
      </c>
      <c r="H8" s="5" t="n"/>
      <c r="I8" s="6" t="inlineStr">
        <is>
          <t>Drawer</t>
        </is>
      </c>
      <c r="J8" s="5" t="inlineStr">
        <is>
          <t>Me</t>
        </is>
      </c>
      <c r="K8" s="6" t="n"/>
      <c r="L8" s="5" t="n"/>
      <c r="M8">
        <f>IF(OR($G8="",Summary!$B$2=""),"",IF($G8&gt;=Summary!$B$2,"★ Attention",""))</f>
        <v/>
      </c>
    </row>
    <row r="9">
      <c r="A9" s="5" t="inlineStr">
        <is>
          <t>Kitchen</t>
        </is>
      </c>
      <c r="B9" s="6" t="inlineStr">
        <is>
          <t>Coffee machine</t>
        </is>
      </c>
      <c r="C9" s="5" t="n">
        <v>1</v>
      </c>
      <c r="D9" s="5" t="inlineStr">
        <is>
          <t>Appliances</t>
        </is>
      </c>
      <c r="E9" s="7" t="n">
        <v>44971</v>
      </c>
      <c r="F9" s="8" t="n">
        <v>180</v>
      </c>
      <c r="G9" s="8" t="n">
        <v>120</v>
      </c>
      <c r="H9" s="5" t="n"/>
      <c r="I9" s="6" t="inlineStr">
        <is>
          <t>Countertop</t>
        </is>
      </c>
      <c r="J9" s="5" t="inlineStr">
        <is>
          <t>Me</t>
        </is>
      </c>
      <c r="K9" s="6" t="n"/>
      <c r="L9" s="5" t="inlineStr">
        <is>
          <t>EXAMPLE-photo-04.jpg</t>
        </is>
      </c>
      <c r="M9">
        <f>IF(OR($G9="",Summary!$B$2=""),"",IF($G9&gt;=Summary!$B$2,"★ Attention",""))</f>
        <v/>
      </c>
    </row>
    <row r="10">
      <c r="A10" s="5" t="inlineStr">
        <is>
          <t>Bedroom (Primary)</t>
        </is>
      </c>
      <c r="B10" s="6" t="inlineStr">
        <is>
          <t>Queen bed frame</t>
        </is>
      </c>
      <c r="C10" s="5" t="n">
        <v>1</v>
      </c>
      <c r="D10" s="5" t="inlineStr">
        <is>
          <t>Furniture</t>
        </is>
      </c>
      <c r="E10" s="7" t="n">
        <v>43983</v>
      </c>
      <c r="F10" s="8" t="n">
        <v>600</v>
      </c>
      <c r="G10" s="8" t="n">
        <v>400</v>
      </c>
      <c r="H10" s="5" t="n"/>
      <c r="I10" s="6" t="inlineStr">
        <is>
          <t>Bedroom</t>
        </is>
      </c>
      <c r="J10" s="5" t="inlineStr">
        <is>
          <t>Me</t>
        </is>
      </c>
      <c r="K10" s="6" t="n"/>
      <c r="L10" s="5" t="n"/>
      <c r="M10">
        <f>IF(OR($G10="",Summary!$B$2=""),"",IF($G10&gt;=Summary!$B$2,"★ Attention",""))</f>
        <v/>
      </c>
    </row>
    <row r="11">
      <c r="A11" s="5" t="inlineStr">
        <is>
          <t>Bedroom (Primary)</t>
        </is>
      </c>
      <c r="B11" s="6" t="inlineStr">
        <is>
          <t>Mattress</t>
        </is>
      </c>
      <c r="C11" s="5" t="n">
        <v>1</v>
      </c>
      <c r="D11" s="5" t="inlineStr">
        <is>
          <t>Furniture</t>
        </is>
      </c>
      <c r="E11" s="7" t="n">
        <v>43983</v>
      </c>
      <c r="F11" s="8" t="n">
        <v>800</v>
      </c>
      <c r="G11" s="8" t="n">
        <v>500</v>
      </c>
      <c r="H11" s="5" t="n"/>
      <c r="I11" s="6" t="inlineStr">
        <is>
          <t>Bedroom</t>
        </is>
      </c>
      <c r="J11" s="5" t="inlineStr">
        <is>
          <t>Me</t>
        </is>
      </c>
      <c r="K11" s="6" t="n"/>
      <c r="L11" s="5" t="n"/>
      <c r="M11">
        <f>IF(OR($G11="",Summary!$B$2=""),"",IF($G11&gt;=Summary!$B$2,"★ Attention",""))</f>
        <v/>
      </c>
    </row>
    <row r="12">
      <c r="A12" s="5" t="inlineStr">
        <is>
          <t>Bedroom (Primary)</t>
        </is>
      </c>
      <c r="B12" s="6" t="inlineStr">
        <is>
          <t>Wristwatch</t>
        </is>
      </c>
      <c r="C12" s="5" t="n">
        <v>1</v>
      </c>
      <c r="D12" s="5" t="inlineStr">
        <is>
          <t>Jewelry &amp; Watches</t>
        </is>
      </c>
      <c r="E12" s="7" t="n">
        <v>43824</v>
      </c>
      <c r="F12" s="8" t="n">
        <v>1500</v>
      </c>
      <c r="G12" s="8" t="n">
        <v>1200</v>
      </c>
      <c r="H12" s="5" t="inlineStr">
        <is>
          <t>EXAMPLE-SN-003</t>
        </is>
      </c>
      <c r="I12" s="6" t="inlineStr">
        <is>
          <t>Dresser drawer</t>
        </is>
      </c>
      <c r="J12" s="5" t="inlineStr">
        <is>
          <t>Me</t>
        </is>
      </c>
      <c r="K12" s="6" t="inlineStr">
        <is>
          <t>Gift</t>
        </is>
      </c>
      <c r="L12" s="5" t="inlineStr">
        <is>
          <t>EXAMPLE-photo-05.jpg</t>
        </is>
      </c>
      <c r="M12">
        <f>IF(OR($G12="",Summary!$B$2=""),"",IF($G12&gt;=Summary!$B$2,"★ Attention",""))</f>
        <v/>
      </c>
    </row>
    <row r="13">
      <c r="A13" s="5" t="inlineStr">
        <is>
          <t>Bedroom (Guest/Other)</t>
        </is>
      </c>
      <c r="B13" s="6" t="inlineStr">
        <is>
          <t>Single bed</t>
        </is>
      </c>
      <c r="C13" s="5" t="n">
        <v>1</v>
      </c>
      <c r="D13" s="5" t="inlineStr">
        <is>
          <t>Furniture</t>
        </is>
      </c>
      <c r="E13" s="7" t="n">
        <v>43191</v>
      </c>
      <c r="F13" s="8" t="n">
        <v>300</v>
      </c>
      <c r="G13" s="8" t="n">
        <v>150</v>
      </c>
      <c r="H13" s="5" t="n"/>
      <c r="I13" s="6" t="inlineStr">
        <is>
          <t>Guest room</t>
        </is>
      </c>
      <c r="J13" s="5" t="inlineStr">
        <is>
          <t>Me</t>
        </is>
      </c>
      <c r="K13" s="6" t="n"/>
      <c r="L13" s="5" t="n"/>
      <c r="M13">
        <f>IF(OR($G13="",Summary!$B$2=""),"",IF($G13&gt;=Summary!$B$2,"★ Attention",""))</f>
        <v/>
      </c>
    </row>
    <row r="14">
      <c r="A14" s="5" t="inlineStr">
        <is>
          <t>Bedroom (Guest/Other)</t>
        </is>
      </c>
      <c r="B14" s="6" t="inlineStr">
        <is>
          <t>Office chair</t>
        </is>
      </c>
      <c r="C14" s="5" t="n">
        <v>1</v>
      </c>
      <c r="D14" s="5" t="inlineStr">
        <is>
          <t>Furniture</t>
        </is>
      </c>
      <c r="E14" s="7" t="n">
        <v>44440</v>
      </c>
      <c r="F14" s="8" t="n">
        <v>130</v>
      </c>
      <c r="G14" s="8" t="n">
        <v>70</v>
      </c>
      <c r="H14" s="5" t="n"/>
      <c r="I14" s="6" t="inlineStr">
        <is>
          <t>Guest room</t>
        </is>
      </c>
      <c r="J14" s="5" t="inlineStr">
        <is>
          <t>Me</t>
        </is>
      </c>
      <c r="K14" s="6" t="n"/>
      <c r="L14" s="5" t="n"/>
      <c r="M14">
        <f>IF(OR($G14="",Summary!$B$2=""),"",IF($G14&gt;=Summary!$B$2,"★ Attention",""))</f>
        <v/>
      </c>
    </row>
    <row r="15">
      <c r="A15" s="5" t="inlineStr">
        <is>
          <t>Bathroom</t>
        </is>
      </c>
      <c r="B15" s="6" t="inlineStr">
        <is>
          <t>Hair dryer</t>
        </is>
      </c>
      <c r="C15" s="5" t="n">
        <v>1</v>
      </c>
      <c r="D15" s="5" t="inlineStr">
        <is>
          <t>Electronics</t>
        </is>
      </c>
      <c r="E15" s="7" t="n">
        <v>44749</v>
      </c>
      <c r="F15" s="8" t="n">
        <v>60</v>
      </c>
      <c r="G15" s="8" t="n">
        <v>30</v>
      </c>
      <c r="H15" s="5" t="n"/>
      <c r="I15" s="6" t="inlineStr">
        <is>
          <t>Vanity</t>
        </is>
      </c>
      <c r="J15" s="5" t="inlineStr">
        <is>
          <t>Me</t>
        </is>
      </c>
      <c r="K15" s="6" t="n"/>
      <c r="L15" s="5" t="n"/>
      <c r="M15">
        <f>IF(OR($G15="",Summary!$B$2=""),"",IF($G15&gt;=Summary!$B$2,"★ Attention",""))</f>
        <v/>
      </c>
    </row>
    <row r="16">
      <c r="A16" s="5" t="inlineStr">
        <is>
          <t>Home Office / Study</t>
        </is>
      </c>
      <c r="B16" s="6" t="inlineStr">
        <is>
          <t>Laptop computer</t>
        </is>
      </c>
      <c r="C16" s="5" t="n">
        <v>1</v>
      </c>
      <c r="D16" s="5" t="inlineStr">
        <is>
          <t>Electronics</t>
        </is>
      </c>
      <c r="E16" s="7" t="n">
        <v>45200</v>
      </c>
      <c r="F16" s="8" t="n">
        <v>1300</v>
      </c>
      <c r="G16" s="8" t="n">
        <v>1000</v>
      </c>
      <c r="H16" s="5" t="inlineStr">
        <is>
          <t>EXAMPLE-SN-004</t>
        </is>
      </c>
      <c r="I16" s="6" t="inlineStr">
        <is>
          <t>On desk</t>
        </is>
      </c>
      <c r="J16" s="5" t="inlineStr">
        <is>
          <t>Me</t>
        </is>
      </c>
      <c r="K16" s="6" t="inlineStr">
        <is>
          <t>Work use</t>
        </is>
      </c>
      <c r="L16" s="5" t="inlineStr">
        <is>
          <t>EXAMPLE-photo-06.jpg</t>
        </is>
      </c>
      <c r="M16">
        <f>IF(OR($G16="",Summary!$B$2=""),"",IF($G16&gt;=Summary!$B$2,"★ Attention",""))</f>
        <v/>
      </c>
    </row>
    <row r="17">
      <c r="A17" s="5" t="inlineStr">
        <is>
          <t>Home Office / Study</t>
        </is>
      </c>
      <c r="B17" s="6" t="inlineStr">
        <is>
          <t>Monitor 27-inch</t>
        </is>
      </c>
      <c r="C17" s="5" t="n">
        <v>1</v>
      </c>
      <c r="D17" s="5" t="inlineStr">
        <is>
          <t>Electronics</t>
        </is>
      </c>
      <c r="E17" s="7" t="n">
        <v>45200</v>
      </c>
      <c r="F17" s="8" t="n">
        <v>350</v>
      </c>
      <c r="G17" s="8" t="n">
        <v>250</v>
      </c>
      <c r="H17" s="5" t="n"/>
      <c r="I17" s="6" t="inlineStr">
        <is>
          <t>On desk</t>
        </is>
      </c>
      <c r="J17" s="5" t="inlineStr">
        <is>
          <t>Me</t>
        </is>
      </c>
      <c r="K17" s="6" t="n"/>
      <c r="L17" s="5" t="n"/>
      <c r="M17">
        <f>IF(OR($G17="",Summary!$B$2=""),"",IF($G17&gt;=Summary!$B$2,"★ Attention",""))</f>
        <v/>
      </c>
    </row>
    <row r="18">
      <c r="A18" s="5" t="inlineStr">
        <is>
          <t>Home Office / Study</t>
        </is>
      </c>
      <c r="B18" s="6" t="inlineStr">
        <is>
          <t>Printer</t>
        </is>
      </c>
      <c r="C18" s="5" t="n">
        <v>1</v>
      </c>
      <c r="D18" s="5" t="inlineStr">
        <is>
          <t>Electronics</t>
        </is>
      </c>
      <c r="E18" s="7" t="n">
        <v>44336</v>
      </c>
      <c r="F18" s="8" t="n">
        <v>220</v>
      </c>
      <c r="G18" s="8" t="n">
        <v>120</v>
      </c>
      <c r="H18" s="5" t="inlineStr">
        <is>
          <t>EXAMPLE-SN-005</t>
        </is>
      </c>
      <c r="I18" s="6" t="inlineStr">
        <is>
          <t>Shelf</t>
        </is>
      </c>
      <c r="J18" s="5" t="inlineStr">
        <is>
          <t>Me</t>
        </is>
      </c>
      <c r="K18" s="6" t="n"/>
      <c r="L18" s="5" t="inlineStr">
        <is>
          <t>EXAMPLE-photo-07.jpg</t>
        </is>
      </c>
      <c r="M18">
        <f>IF(OR($G18="",Summary!$B$2=""),"",IF($G18&gt;=Summary!$B$2,"★ Attention",""))</f>
        <v/>
      </c>
    </row>
    <row r="19">
      <c r="A19" s="5" t="inlineStr">
        <is>
          <t>Home Office / Study</t>
        </is>
      </c>
      <c r="B19" s="6" t="inlineStr">
        <is>
          <t>Office chair</t>
        </is>
      </c>
      <c r="C19" s="5" t="n">
        <v>1</v>
      </c>
      <c r="D19" s="5" t="inlineStr">
        <is>
          <t>Furniture</t>
        </is>
      </c>
      <c r="E19" s="7" t="n">
        <v>44635</v>
      </c>
      <c r="F19" s="8" t="n">
        <v>280</v>
      </c>
      <c r="G19" s="8" t="n">
        <v>180</v>
      </c>
      <c r="H19" s="5" t="n"/>
      <c r="I19" s="6" t="inlineStr">
        <is>
          <t>Desk</t>
        </is>
      </c>
      <c r="J19" s="5" t="inlineStr">
        <is>
          <t>Me</t>
        </is>
      </c>
      <c r="K19" s="6" t="n"/>
      <c r="L19" s="5" t="n"/>
      <c r="M19">
        <f>IF(OR($G19="",Summary!$B$2=""),"",IF($G19&gt;=Summary!$B$2,"★ Attention",""))</f>
        <v/>
      </c>
    </row>
    <row r="20">
      <c r="A20" s="5" t="inlineStr">
        <is>
          <t>Garage</t>
        </is>
      </c>
      <c r="B20" s="6" t="inlineStr">
        <is>
          <t>Tool set</t>
        </is>
      </c>
      <c r="C20" s="5" t="n">
        <v>1</v>
      </c>
      <c r="D20" s="5" t="inlineStr">
        <is>
          <t>Tools &amp; Equipment</t>
        </is>
      </c>
      <c r="E20" s="7" t="n">
        <v>43780</v>
      </c>
      <c r="F20" s="8" t="n">
        <v>250</v>
      </c>
      <c r="G20" s="8" t="n">
        <v>150</v>
      </c>
      <c r="H20" s="5" t="n"/>
      <c r="I20" s="6" t="inlineStr">
        <is>
          <t>Workbench</t>
        </is>
      </c>
      <c r="J20" s="5" t="inlineStr">
        <is>
          <t>Me</t>
        </is>
      </c>
      <c r="K20" s="6" t="n"/>
      <c r="L20" s="5" t="n"/>
      <c r="M20">
        <f>IF(OR($G20="",Summary!$B$2=""),"",IF($G20&gt;=Summary!$B$2,"★ Attention",""))</f>
        <v/>
      </c>
    </row>
    <row r="21">
      <c r="A21" s="5" t="inlineStr">
        <is>
          <t>Garage</t>
        </is>
      </c>
      <c r="B21" s="6" t="inlineStr">
        <is>
          <t>Lawn mower</t>
        </is>
      </c>
      <c r="C21" s="5" t="n">
        <v>1</v>
      </c>
      <c r="D21" s="5" t="inlineStr">
        <is>
          <t>Tools &amp; Equipment</t>
        </is>
      </c>
      <c r="E21" s="7" t="n">
        <v>43939</v>
      </c>
      <c r="F21" s="8" t="n">
        <v>420</v>
      </c>
      <c r="G21" s="8" t="n"/>
      <c r="H21" s="5" t="n"/>
      <c r="I21" s="6" t="inlineStr">
        <is>
          <t>Garage corner</t>
        </is>
      </c>
      <c r="J21" s="5" t="inlineStr">
        <is>
          <t>Me</t>
        </is>
      </c>
      <c r="K21" s="6" t="inlineStr">
        <is>
          <t>Value unknown</t>
        </is>
      </c>
      <c r="L21" s="5" t="n"/>
      <c r="M21">
        <f>IF(OR($G21="",Summary!$B$2=""),"",IF($G21&gt;=Summary!$B$2,"★ Attention",""))</f>
        <v/>
      </c>
    </row>
    <row r="22">
      <c r="A22" s="5" t="inlineStr">
        <is>
          <t>Garage</t>
        </is>
      </c>
      <c r="B22" s="6" t="inlineStr">
        <is>
          <t>Bicycle</t>
        </is>
      </c>
      <c r="C22" s="5" t="n">
        <v>2</v>
      </c>
      <c r="D22" s="5" t="inlineStr">
        <is>
          <t>Sports &amp; Outdoor</t>
        </is>
      </c>
      <c r="E22" s="7" t="n">
        <v>44317</v>
      </c>
      <c r="F22" s="8" t="n">
        <v>600</v>
      </c>
      <c r="G22" s="8" t="n">
        <v>400</v>
      </c>
      <c r="H22" s="5" t="n"/>
      <c r="I22" s="6" t="inlineStr">
        <is>
          <t>Garage wall</t>
        </is>
      </c>
      <c r="J22" s="5" t="inlineStr">
        <is>
          <t>Family</t>
        </is>
      </c>
      <c r="K22" s="6" t="n"/>
      <c r="L22" s="5" t="inlineStr">
        <is>
          <t>EXAMPLE-photo-08.jpg</t>
        </is>
      </c>
      <c r="M22">
        <f>IF(OR($G22="",Summary!$B$2=""),"",IF($G22&gt;=Summary!$B$2,"★ Attention",""))</f>
        <v/>
      </c>
    </row>
    <row r="23">
      <c r="A23" s="5" t="inlineStr">
        <is>
          <t>Basement / Storage</t>
        </is>
      </c>
      <c r="B23" s="6" t="inlineStr">
        <is>
          <t>Storage boxes of books</t>
        </is>
      </c>
      <c r="C23" s="5" t="n">
        <v>6</v>
      </c>
      <c r="D23" s="5" t="inlineStr">
        <is>
          <t>Other</t>
        </is>
      </c>
      <c r="E23" s="7" t="n">
        <v>42005</v>
      </c>
      <c r="F23" s="8" t="n">
        <v>300</v>
      </c>
      <c r="G23" s="8" t="n">
        <v>100</v>
      </c>
      <c r="H23" s="5" t="n"/>
      <c r="I23" s="6" t="inlineStr">
        <is>
          <t>Shelves</t>
        </is>
      </c>
      <c r="J23" s="5" t="inlineStr">
        <is>
          <t>Me</t>
        </is>
      </c>
      <c r="K23" s="6" t="n"/>
      <c r="L23" s="5" t="n"/>
      <c r="M23">
        <f>IF(OR($G23="",Summary!$B$2=""),"",IF($G23&gt;=Summary!$B$2,"★ Attention",""))</f>
        <v/>
      </c>
    </row>
    <row r="24">
      <c r="A24" s="5" t="inlineStr">
        <is>
          <t>Dining Room</t>
        </is>
      </c>
      <c r="B24" s="6" t="inlineStr">
        <is>
          <t>Dining table with a very long descriptive name for testing text wrapping in narrow columns</t>
        </is>
      </c>
      <c r="C24" s="5" t="n">
        <v>1</v>
      </c>
      <c r="D24" s="5" t="inlineStr">
        <is>
          <t>Furniture</t>
        </is>
      </c>
      <c r="E24" s="7" t="n">
        <v>43983</v>
      </c>
      <c r="F24" s="8" t="n">
        <v>950</v>
      </c>
      <c r="G24" s="8" t="n">
        <v>650</v>
      </c>
      <c r="H24" s="5" t="n"/>
      <c r="I24" s="6" t="inlineStr">
        <is>
          <t>Dining room</t>
        </is>
      </c>
      <c r="J24" s="5" t="inlineStr">
        <is>
          <t>Me</t>
        </is>
      </c>
      <c r="K24" s="6" t="n"/>
      <c r="L24" s="5" t="inlineStr">
        <is>
          <t>EXAMPLE-photo-09.jpg</t>
        </is>
      </c>
      <c r="M24">
        <f>IF(OR($G24="",Summary!$B$2=""),"",IF($G24&gt;=Summary!$B$2,"★ Attention",""))</f>
        <v/>
      </c>
    </row>
    <row r="25">
      <c r="A25" s="5" t="inlineStr">
        <is>
          <t>Laundry Room</t>
        </is>
      </c>
      <c r="B25" s="6" t="inlineStr">
        <is>
          <t>Washing machine</t>
        </is>
      </c>
      <c r="C25" s="5" t="n">
        <v>1</v>
      </c>
      <c r="D25" s="5" t="inlineStr">
        <is>
          <t>Appliances</t>
        </is>
      </c>
      <c r="E25" s="7" t="n">
        <v>43524</v>
      </c>
      <c r="F25" s="8" t="n">
        <v>650</v>
      </c>
      <c r="G25" s="8" t="n">
        <v>350</v>
      </c>
      <c r="H25" s="5" t="inlineStr">
        <is>
          <t>EXAMPLE-SN-006</t>
        </is>
      </c>
      <c r="I25" s="6" t="inlineStr">
        <is>
          <t>Laundry room</t>
        </is>
      </c>
      <c r="J25" s="5" t="inlineStr">
        <is>
          <t>Me</t>
        </is>
      </c>
      <c r="K25" s="6" t="n"/>
      <c r="L25" s="5" t="n"/>
      <c r="M25">
        <f>IF(OR($G25="",Summary!$B$2=""),"",IF($G25&gt;=Summary!$B$2,"★ Attention",""))</f>
        <v/>
      </c>
    </row>
    <row r="26">
      <c r="A26" s="5" t="inlineStr">
        <is>
          <t>Hallway / Entry</t>
        </is>
      </c>
      <c r="B26" s="6" t="inlineStr">
        <is>
          <t>Entry console table</t>
        </is>
      </c>
      <c r="C26" s="5" t="n">
        <v>1</v>
      </c>
      <c r="D26" s="5" t="inlineStr">
        <is>
          <t>Furniture</t>
        </is>
      </c>
      <c r="E26" s="7" t="n">
        <v>44206</v>
      </c>
      <c r="F26" s="8" t="n">
        <v>180</v>
      </c>
      <c r="G26" s="8" t="n">
        <v>100</v>
      </c>
      <c r="H26" s="5" t="n"/>
      <c r="I26" s="6" t="inlineStr">
        <is>
          <t>Hallway</t>
        </is>
      </c>
      <c r="J26" s="5" t="inlineStr">
        <is>
          <t>Me</t>
        </is>
      </c>
      <c r="K26" s="6" t="n"/>
      <c r="L26" s="5" t="n"/>
      <c r="M26">
        <f>IF(OR($G26="",Summary!$B$2=""),"",IF($G26&gt;=Summary!$B$2,"★ Attention",""))</f>
        <v/>
      </c>
    </row>
    <row r="27">
      <c r="A27" s="5" t="inlineStr">
        <is>
          <t>Home Office / Study</t>
        </is>
      </c>
      <c r="B27" s="6" t="inlineStr">
        <is>
          <t>Office chair</t>
        </is>
      </c>
      <c r="C27" s="5" t="n">
        <v>1</v>
      </c>
      <c r="D27" s="5" t="inlineStr">
        <is>
          <t>Furniture</t>
        </is>
      </c>
      <c r="E27" s="7" t="n"/>
      <c r="F27" s="8" t="n">
        <v>180</v>
      </c>
      <c r="G27" s="8" t="n">
        <v>180</v>
      </c>
      <c r="H27" s="5" t="n"/>
      <c r="I27" s="6" t="n"/>
      <c r="J27" s="5" t="n"/>
      <c r="K27" s="6" t="inlineStr">
        <is>
          <t>Boundary: duplicate name</t>
        </is>
      </c>
      <c r="L27" s="5" t="n"/>
      <c r="M27">
        <f>IF(OR($G27="",Summary!$B$2=""),"",IF($G27&gt;=Summary!$B$2,"★ Attention",""))</f>
        <v/>
      </c>
    </row>
    <row r="28">
      <c r="A28" s="5" t="inlineStr">
        <is>
          <t>Kitchen</t>
        </is>
      </c>
      <c r="B28" s="6" t="inlineStr">
        <is>
          <t>Test empty value</t>
        </is>
      </c>
      <c r="C28" s="5" t="n">
        <v>1</v>
      </c>
      <c r="D28" s="5" t="inlineStr">
        <is>
          <t>Other</t>
        </is>
      </c>
      <c r="E28" s="7" t="n"/>
      <c r="F28" s="8" t="n">
        <v>420</v>
      </c>
      <c r="G28" s="8" t="n"/>
      <c r="H28" s="5" t="n"/>
      <c r="I28" s="6" t="n"/>
      <c r="J28" s="5" t="n"/>
      <c r="K28" s="6" t="inlineStr">
        <is>
          <t>Boundary: blank value</t>
        </is>
      </c>
      <c r="L28" s="5" t="n"/>
      <c r="M28">
        <f>IF(OR($G28="",Summary!$B$2=""),"",IF($G28&gt;=Summary!$B$2,"★ Attention",""))</f>
        <v/>
      </c>
    </row>
    <row r="29">
      <c r="A29" s="5" t="inlineStr">
        <is>
          <t>Garage</t>
        </is>
      </c>
      <c r="B29" s="6" t="inlineStr">
        <is>
          <t>Test zero value</t>
        </is>
      </c>
      <c r="C29" s="5" t="n">
        <v>1</v>
      </c>
      <c r="D29" s="5" t="inlineStr">
        <is>
          <t>Other</t>
        </is>
      </c>
      <c r="E29" s="7" t="n"/>
      <c r="F29" s="8" t="n">
        <v>100</v>
      </c>
      <c r="G29" s="8" t="n">
        <v>0</v>
      </c>
      <c r="H29" s="5" t="n"/>
      <c r="I29" s="6" t="n"/>
      <c r="J29" s="5" t="n"/>
      <c r="K29" s="6" t="inlineStr">
        <is>
          <t>Boundary: zero value</t>
        </is>
      </c>
      <c r="L29" s="5" t="n"/>
      <c r="M29">
        <f>IF(OR($G29="",Summary!$B$2=""),"",IF($G29&gt;=Summary!$B$2,"★ Attention",""))</f>
        <v/>
      </c>
    </row>
    <row r="30">
      <c r="A30" s="5" t="inlineStr">
        <is>
          <t>Dining Room</t>
        </is>
      </c>
      <c r="B30" s="6" t="inlineStr">
        <is>
          <t>Dining table with a very long descriptive name for wrapping test purposes</t>
        </is>
      </c>
      <c r="C30" s="5" t="n">
        <v>1</v>
      </c>
      <c r="D30" s="5" t="inlineStr">
        <is>
          <t>Furniture</t>
        </is>
      </c>
      <c r="E30" s="7" t="n"/>
      <c r="F30" s="8" t="n">
        <v>700</v>
      </c>
      <c r="G30" s="8" t="n">
        <v>650</v>
      </c>
      <c r="H30" s="5" t="n"/>
      <c r="I30" s="6" t="n"/>
      <c r="J30" s="5" t="n"/>
      <c r="K30" s="6" t="inlineStr">
        <is>
          <t>Boundary: long text</t>
        </is>
      </c>
      <c r="L30" s="5" t="n"/>
      <c r="M30">
        <f>IF(OR($G30="",Summary!$B$2=""),"",IF($G30&gt;=Summary!$B$2,"★ Attention",""))</f>
        <v/>
      </c>
    </row>
    <row r="31">
      <c r="A31" s="5" t="inlineStr">
        <is>
          <t>Living Room</t>
        </is>
      </c>
      <c r="B31" s="6" t="inlineStr">
        <is>
          <t>Test edge 500</t>
        </is>
      </c>
      <c r="C31" s="5" t="n">
        <v>1</v>
      </c>
      <c r="D31" s="5" t="inlineStr">
        <is>
          <t>Other</t>
        </is>
      </c>
      <c r="E31" s="7" t="n"/>
      <c r="F31" s="8" t="n">
        <v>500</v>
      </c>
      <c r="G31" s="8" t="n">
        <v>500</v>
      </c>
      <c r="H31" s="5" t="n"/>
      <c r="I31" s="6" t="n"/>
      <c r="J31" s="5" t="n"/>
      <c r="K31" s="6" t="inlineStr">
        <is>
          <t>Boundary: value equals attention line</t>
        </is>
      </c>
      <c r="L31" s="5" t="n"/>
      <c r="M31">
        <f>IF(OR($G31="",Summary!$B$2=""),"",IF($G31&gt;=Summary!$B$2,"★ Attention",""))</f>
        <v/>
      </c>
    </row>
    <row r="32">
      <c r="A32" s="5" t="n"/>
      <c r="B32" s="6" t="n"/>
      <c r="C32" s="5" t="n"/>
      <c r="D32" s="5" t="n"/>
      <c r="E32" s="7" t="n"/>
      <c r="F32" s="8" t="n"/>
      <c r="G32" s="8" t="n"/>
      <c r="H32" s="5" t="n"/>
      <c r="I32" s="6" t="n"/>
      <c r="J32" s="5" t="n"/>
      <c r="K32" s="6" t="n"/>
      <c r="L32" s="5" t="n"/>
      <c r="M32">
        <f>IF(OR($G32="",Summary!$B$2=""),"",IF($G32&gt;=Summary!$B$2,"★ Attention",""))</f>
        <v/>
      </c>
    </row>
    <row r="33">
      <c r="A33" s="5" t="n"/>
      <c r="B33" s="6" t="n"/>
      <c r="C33" s="5" t="n"/>
      <c r="D33" s="5" t="n"/>
      <c r="E33" s="7" t="n"/>
      <c r="F33" s="8" t="n"/>
      <c r="G33" s="8" t="n"/>
      <c r="H33" s="5" t="n"/>
      <c r="I33" s="6" t="n"/>
      <c r="J33" s="5" t="n"/>
      <c r="K33" s="6" t="n"/>
      <c r="L33" s="5" t="n"/>
      <c r="M33">
        <f>IF(OR($G33="",Summary!$B$2=""),"",IF($G33&gt;=Summary!$B$2,"★ Attention",""))</f>
        <v/>
      </c>
    </row>
    <row r="34">
      <c r="A34" s="5" t="n"/>
      <c r="B34" s="6" t="n"/>
      <c r="C34" s="5" t="n"/>
      <c r="D34" s="5" t="n"/>
      <c r="E34" s="7" t="n"/>
      <c r="F34" s="8" t="n"/>
      <c r="G34" s="8" t="n"/>
      <c r="H34" s="5" t="n"/>
      <c r="I34" s="6" t="n"/>
      <c r="J34" s="5" t="n"/>
      <c r="K34" s="6" t="n"/>
      <c r="L34" s="5" t="n"/>
      <c r="M34">
        <f>IF(OR($G34="",Summary!$B$2=""),"",IF($G34&gt;=Summary!$B$2,"★ Attention",""))</f>
        <v/>
      </c>
    </row>
    <row r="35">
      <c r="A35" s="5" t="n"/>
      <c r="B35" s="6" t="n"/>
      <c r="C35" s="5" t="n"/>
      <c r="D35" s="5" t="n"/>
      <c r="E35" s="7" t="n"/>
      <c r="F35" s="8" t="n"/>
      <c r="G35" s="8" t="n"/>
      <c r="H35" s="5" t="n"/>
      <c r="I35" s="6" t="n"/>
      <c r="J35" s="5" t="n"/>
      <c r="K35" s="6" t="n"/>
      <c r="L35" s="5" t="n"/>
      <c r="M35">
        <f>IF(OR($G35="",Summary!$B$2=""),"",IF($G35&gt;=Summary!$B$2,"★ Attention",""))</f>
        <v/>
      </c>
    </row>
    <row r="36">
      <c r="A36" s="5" t="n"/>
      <c r="B36" s="6" t="n"/>
      <c r="C36" s="5" t="n"/>
      <c r="D36" s="5" t="n"/>
      <c r="E36" s="7" t="n"/>
      <c r="F36" s="8" t="n"/>
      <c r="G36" s="8" t="n"/>
      <c r="H36" s="5" t="n"/>
      <c r="I36" s="6" t="n"/>
      <c r="J36" s="5" t="n"/>
      <c r="K36" s="6" t="n"/>
      <c r="L36" s="5" t="n"/>
      <c r="M36">
        <f>IF(OR($G36="",Summary!$B$2=""),"",IF($G36&gt;=Summary!$B$2,"★ Attention",""))</f>
        <v/>
      </c>
    </row>
    <row r="37">
      <c r="A37" s="5" t="n"/>
      <c r="B37" s="6" t="n"/>
      <c r="C37" s="5" t="n"/>
      <c r="D37" s="5" t="n"/>
      <c r="E37" s="7" t="n"/>
      <c r="F37" s="8" t="n"/>
      <c r="G37" s="8" t="n"/>
      <c r="H37" s="5" t="n"/>
      <c r="I37" s="6" t="n"/>
      <c r="J37" s="5" t="n"/>
      <c r="K37" s="6" t="n"/>
      <c r="L37" s="5" t="n"/>
      <c r="M37">
        <f>IF(OR($G37="",Summary!$B$2=""),"",IF($G37&gt;=Summary!$B$2,"★ Attention",""))</f>
        <v/>
      </c>
    </row>
    <row r="38">
      <c r="A38" s="5" t="n"/>
      <c r="B38" s="6" t="n"/>
      <c r="C38" s="5" t="n"/>
      <c r="D38" s="5" t="n"/>
      <c r="E38" s="7" t="n"/>
      <c r="F38" s="8" t="n"/>
      <c r="G38" s="8" t="n"/>
      <c r="H38" s="5" t="n"/>
      <c r="I38" s="6" t="n"/>
      <c r="J38" s="5" t="n"/>
      <c r="K38" s="6" t="n"/>
      <c r="L38" s="5" t="n"/>
      <c r="M38">
        <f>IF(OR($G38="",Summary!$B$2=""),"",IF($G38&gt;=Summary!$B$2,"★ Attention",""))</f>
        <v/>
      </c>
    </row>
    <row r="39">
      <c r="A39" s="5" t="n"/>
      <c r="B39" s="6" t="n"/>
      <c r="C39" s="5" t="n"/>
      <c r="D39" s="5" t="n"/>
      <c r="E39" s="7" t="n"/>
      <c r="F39" s="8" t="n"/>
      <c r="G39" s="8" t="n"/>
      <c r="H39" s="5" t="n"/>
      <c r="I39" s="6" t="n"/>
      <c r="J39" s="5" t="n"/>
      <c r="K39" s="6" t="n"/>
      <c r="L39" s="5" t="n"/>
      <c r="M39">
        <f>IF(OR($G39="",Summary!$B$2=""),"",IF($G39&gt;=Summary!$B$2,"★ Attention",""))</f>
        <v/>
      </c>
    </row>
    <row r="40">
      <c r="A40" s="5" t="n"/>
      <c r="B40" s="6" t="n"/>
      <c r="C40" s="5" t="n"/>
      <c r="D40" s="5" t="n"/>
      <c r="E40" s="7" t="n"/>
      <c r="F40" s="8" t="n"/>
      <c r="G40" s="8" t="n"/>
      <c r="H40" s="5" t="n"/>
      <c r="I40" s="6" t="n"/>
      <c r="J40" s="5" t="n"/>
      <c r="K40" s="6" t="n"/>
      <c r="L40" s="5" t="n"/>
      <c r="M40">
        <f>IF(OR($G40="",Summary!$B$2=""),"",IF($G40&gt;=Summary!$B$2,"★ Attention",""))</f>
        <v/>
      </c>
    </row>
    <row r="41">
      <c r="A41" s="5" t="n"/>
      <c r="B41" s="6" t="n"/>
      <c r="C41" s="5" t="n"/>
      <c r="D41" s="5" t="n"/>
      <c r="E41" s="7" t="n"/>
      <c r="F41" s="8" t="n"/>
      <c r="G41" s="8" t="n"/>
      <c r="H41" s="5" t="n"/>
      <c r="I41" s="6" t="n"/>
      <c r="J41" s="5" t="n"/>
      <c r="K41" s="6" t="n"/>
      <c r="L41" s="5" t="n"/>
      <c r="M41">
        <f>IF(OR($G41="",Summary!$B$2=""),"",IF($G41&gt;=Summary!$B$2,"★ Attention",""))</f>
        <v/>
      </c>
    </row>
    <row r="42">
      <c r="A42" s="5" t="n"/>
      <c r="B42" s="6" t="n"/>
      <c r="C42" s="5" t="n"/>
      <c r="D42" s="5" t="n"/>
      <c r="E42" s="7" t="n"/>
      <c r="F42" s="8" t="n"/>
      <c r="G42" s="8" t="n"/>
      <c r="H42" s="5" t="n"/>
      <c r="I42" s="6" t="n"/>
      <c r="J42" s="5" t="n"/>
      <c r="K42" s="6" t="n"/>
      <c r="L42" s="5" t="n"/>
      <c r="M42">
        <f>IF(OR($G42="",Summary!$B$2=""),"",IF($G42&gt;=Summary!$B$2,"★ Attention",""))</f>
        <v/>
      </c>
    </row>
    <row r="43">
      <c r="A43" s="5" t="n"/>
      <c r="B43" s="6" t="n"/>
      <c r="C43" s="5" t="n"/>
      <c r="D43" s="5" t="n"/>
      <c r="E43" s="7" t="n"/>
      <c r="F43" s="8" t="n"/>
      <c r="G43" s="8" t="n"/>
      <c r="H43" s="5" t="n"/>
      <c r="I43" s="6" t="n"/>
      <c r="J43" s="5" t="n"/>
      <c r="K43" s="6" t="n"/>
      <c r="L43" s="5" t="n"/>
      <c r="M43">
        <f>IF(OR($G43="",Summary!$B$2=""),"",IF($G43&gt;=Summary!$B$2,"★ Attention",""))</f>
        <v/>
      </c>
    </row>
    <row r="44">
      <c r="A44" s="5" t="n"/>
      <c r="B44" s="6" t="n"/>
      <c r="C44" s="5" t="n"/>
      <c r="D44" s="5" t="n"/>
      <c r="E44" s="7" t="n"/>
      <c r="F44" s="8" t="n"/>
      <c r="G44" s="8" t="n"/>
      <c r="H44" s="5" t="n"/>
      <c r="I44" s="6" t="n"/>
      <c r="J44" s="5" t="n"/>
      <c r="K44" s="6" t="n"/>
      <c r="L44" s="5" t="n"/>
      <c r="M44">
        <f>IF(OR($G44="",Summary!$B$2=""),"",IF($G44&gt;=Summary!$B$2,"★ Attention",""))</f>
        <v/>
      </c>
    </row>
    <row r="45">
      <c r="A45" s="5" t="n"/>
      <c r="B45" s="6" t="n"/>
      <c r="C45" s="5" t="n"/>
      <c r="D45" s="5" t="n"/>
      <c r="E45" s="7" t="n"/>
      <c r="F45" s="8" t="n"/>
      <c r="G45" s="8" t="n"/>
      <c r="H45" s="5" t="n"/>
      <c r="I45" s="6" t="n"/>
      <c r="J45" s="5" t="n"/>
      <c r="K45" s="6" t="n"/>
      <c r="L45" s="5" t="n"/>
      <c r="M45">
        <f>IF(OR($G45="",Summary!$B$2=""),"",IF($G45&gt;=Summary!$B$2,"★ Attention",""))</f>
        <v/>
      </c>
    </row>
    <row r="46">
      <c r="A46" s="5" t="n"/>
      <c r="B46" s="6" t="n"/>
      <c r="C46" s="5" t="n"/>
      <c r="D46" s="5" t="n"/>
      <c r="E46" s="7" t="n"/>
      <c r="F46" s="8" t="n"/>
      <c r="G46" s="8" t="n"/>
      <c r="H46" s="5" t="n"/>
      <c r="I46" s="6" t="n"/>
      <c r="J46" s="5" t="n"/>
      <c r="K46" s="6" t="n"/>
      <c r="L46" s="5" t="n"/>
      <c r="M46">
        <f>IF(OR($G46="",Summary!$B$2=""),"",IF($G46&gt;=Summary!$B$2,"★ Attention",""))</f>
        <v/>
      </c>
    </row>
    <row r="47">
      <c r="A47" s="5" t="n"/>
      <c r="B47" s="6" t="n"/>
      <c r="C47" s="5" t="n"/>
      <c r="D47" s="5" t="n"/>
      <c r="E47" s="7" t="n"/>
      <c r="F47" s="8" t="n"/>
      <c r="G47" s="8" t="n"/>
      <c r="H47" s="5" t="n"/>
      <c r="I47" s="6" t="n"/>
      <c r="J47" s="5" t="n"/>
      <c r="K47" s="6" t="n"/>
      <c r="L47" s="5" t="n"/>
      <c r="M47">
        <f>IF(OR($G47="",Summary!$B$2=""),"",IF($G47&gt;=Summary!$B$2,"★ Attention",""))</f>
        <v/>
      </c>
    </row>
    <row r="48">
      <c r="A48" s="5" t="n"/>
      <c r="B48" s="6" t="n"/>
      <c r="C48" s="5" t="n"/>
      <c r="D48" s="5" t="n"/>
      <c r="E48" s="7" t="n"/>
      <c r="F48" s="8" t="n"/>
      <c r="G48" s="8" t="n"/>
      <c r="H48" s="5" t="n"/>
      <c r="I48" s="6" t="n"/>
      <c r="J48" s="5" t="n"/>
      <c r="K48" s="6" t="n"/>
      <c r="L48" s="5" t="n"/>
      <c r="M48">
        <f>IF(OR($G48="",Summary!$B$2=""),"",IF($G48&gt;=Summary!$B$2,"★ Attention",""))</f>
        <v/>
      </c>
    </row>
    <row r="49">
      <c r="A49" s="5" t="n"/>
      <c r="B49" s="6" t="n"/>
      <c r="C49" s="5" t="n"/>
      <c r="D49" s="5" t="n"/>
      <c r="E49" s="7" t="n"/>
      <c r="F49" s="8" t="n"/>
      <c r="G49" s="8" t="n"/>
      <c r="H49" s="5" t="n"/>
      <c r="I49" s="6" t="n"/>
      <c r="J49" s="5" t="n"/>
      <c r="K49" s="6" t="n"/>
      <c r="L49" s="5" t="n"/>
      <c r="M49">
        <f>IF(OR($G49="",Summary!$B$2=""),"",IF($G49&gt;=Summary!$B$2,"★ Attention",""))</f>
        <v/>
      </c>
    </row>
    <row r="50">
      <c r="A50" s="5" t="n"/>
      <c r="B50" s="6" t="n"/>
      <c r="C50" s="5" t="n"/>
      <c r="D50" s="5" t="n"/>
      <c r="E50" s="7" t="n"/>
      <c r="F50" s="8" t="n"/>
      <c r="G50" s="8" t="n"/>
      <c r="H50" s="5" t="n"/>
      <c r="I50" s="6" t="n"/>
      <c r="J50" s="5" t="n"/>
      <c r="K50" s="6" t="n"/>
      <c r="L50" s="5" t="n"/>
      <c r="M50">
        <f>IF(OR($G50="",Summary!$B$2=""),"",IF($G50&gt;=Summary!$B$2,"★ Attention",""))</f>
        <v/>
      </c>
    </row>
    <row r="51">
      <c r="A51" s="5" t="n"/>
      <c r="B51" s="6" t="n"/>
      <c r="C51" s="5" t="n"/>
      <c r="D51" s="5" t="n"/>
      <c r="E51" s="7" t="n"/>
      <c r="F51" s="8" t="n"/>
      <c r="G51" s="8" t="n"/>
      <c r="H51" s="5" t="n"/>
      <c r="I51" s="6" t="n"/>
      <c r="J51" s="5" t="n"/>
      <c r="K51" s="6" t="n"/>
      <c r="L51" s="5" t="n"/>
      <c r="M51">
        <f>IF(OR($G51="",Summary!$B$2=""),"",IF($G51&gt;=Summary!$B$2,"★ Attention",""))</f>
        <v/>
      </c>
    </row>
    <row r="52">
      <c r="A52" s="5" t="n"/>
      <c r="B52" s="6" t="n"/>
      <c r="C52" s="5" t="n"/>
      <c r="D52" s="5" t="n"/>
      <c r="E52" s="7" t="n"/>
      <c r="F52" s="8" t="n"/>
      <c r="G52" s="8" t="n"/>
      <c r="H52" s="5" t="n"/>
      <c r="I52" s="6" t="n"/>
      <c r="J52" s="5" t="n"/>
      <c r="K52" s="6" t="n"/>
      <c r="L52" s="5" t="n"/>
      <c r="M52">
        <f>IF(OR($G52="",Summary!$B$2=""),"",IF($G52&gt;=Summary!$B$2,"★ Attention",""))</f>
        <v/>
      </c>
    </row>
    <row r="53">
      <c r="A53" s="5" t="n"/>
      <c r="B53" s="6" t="n"/>
      <c r="C53" s="5" t="n"/>
      <c r="D53" s="5" t="n"/>
      <c r="E53" s="7" t="n"/>
      <c r="F53" s="8" t="n"/>
      <c r="G53" s="8" t="n"/>
      <c r="H53" s="5" t="n"/>
      <c r="I53" s="6" t="n"/>
      <c r="J53" s="5" t="n"/>
      <c r="K53" s="6" t="n"/>
      <c r="L53" s="5" t="n"/>
      <c r="M53">
        <f>IF(OR($G53="",Summary!$B$2=""),"",IF($G53&gt;=Summary!$B$2,"★ Attention",""))</f>
        <v/>
      </c>
    </row>
    <row r="54">
      <c r="A54" s="5" t="n"/>
      <c r="B54" s="6" t="n"/>
      <c r="C54" s="5" t="n"/>
      <c r="D54" s="5" t="n"/>
      <c r="E54" s="7" t="n"/>
      <c r="F54" s="8" t="n"/>
      <c r="G54" s="8" t="n"/>
      <c r="H54" s="5" t="n"/>
      <c r="I54" s="6" t="n"/>
      <c r="J54" s="5" t="n"/>
      <c r="K54" s="6" t="n"/>
      <c r="L54" s="5" t="n"/>
      <c r="M54">
        <f>IF(OR($G54="",Summary!$B$2=""),"",IF($G54&gt;=Summary!$B$2,"★ Attention",""))</f>
        <v/>
      </c>
    </row>
    <row r="55">
      <c r="A55" s="5" t="n"/>
      <c r="B55" s="6" t="n"/>
      <c r="C55" s="5" t="n"/>
      <c r="D55" s="5" t="n"/>
      <c r="E55" s="7" t="n"/>
      <c r="F55" s="8" t="n"/>
      <c r="G55" s="8" t="n"/>
      <c r="H55" s="5" t="n"/>
      <c r="I55" s="6" t="n"/>
      <c r="J55" s="5" t="n"/>
      <c r="K55" s="6" t="n"/>
      <c r="L55" s="5" t="n"/>
      <c r="M55">
        <f>IF(OR($G55="",Summary!$B$2=""),"",IF($G55&gt;=Summary!$B$2,"★ Attention",""))</f>
        <v/>
      </c>
    </row>
    <row r="56">
      <c r="A56" s="5" t="n"/>
      <c r="B56" s="6" t="n"/>
      <c r="C56" s="5" t="n"/>
      <c r="D56" s="5" t="n"/>
      <c r="E56" s="7" t="n"/>
      <c r="F56" s="8" t="n"/>
      <c r="G56" s="8" t="n"/>
      <c r="H56" s="5" t="n"/>
      <c r="I56" s="6" t="n"/>
      <c r="J56" s="5" t="n"/>
      <c r="K56" s="6" t="n"/>
      <c r="L56" s="5" t="n"/>
      <c r="M56">
        <f>IF(OR($G56="",Summary!$B$2=""),"",IF($G56&gt;=Summary!$B$2,"★ Attention",""))</f>
        <v/>
      </c>
    </row>
    <row r="57">
      <c r="A57" s="5" t="n"/>
      <c r="B57" s="6" t="n"/>
      <c r="C57" s="5" t="n"/>
      <c r="D57" s="5" t="n"/>
      <c r="E57" s="7" t="n"/>
      <c r="F57" s="8" t="n"/>
      <c r="G57" s="8" t="n"/>
      <c r="H57" s="5" t="n"/>
      <c r="I57" s="6" t="n"/>
      <c r="J57" s="5" t="n"/>
      <c r="K57" s="6" t="n"/>
      <c r="L57" s="5" t="n"/>
      <c r="M57">
        <f>IF(OR($G57="",Summary!$B$2=""),"",IF($G57&gt;=Summary!$B$2,"★ Attention",""))</f>
        <v/>
      </c>
    </row>
    <row r="58">
      <c r="A58" s="5" t="n"/>
      <c r="B58" s="6" t="n"/>
      <c r="C58" s="5" t="n"/>
      <c r="D58" s="5" t="n"/>
      <c r="E58" s="7" t="n"/>
      <c r="F58" s="8" t="n"/>
      <c r="G58" s="8" t="n"/>
      <c r="H58" s="5" t="n"/>
      <c r="I58" s="6" t="n"/>
      <c r="J58" s="5" t="n"/>
      <c r="K58" s="6" t="n"/>
      <c r="L58" s="5" t="n"/>
      <c r="M58">
        <f>IF(OR($G58="",Summary!$B$2=""),"",IF($G58&gt;=Summary!$B$2,"★ Attention",""))</f>
        <v/>
      </c>
    </row>
    <row r="59">
      <c r="A59" s="5" t="n"/>
      <c r="B59" s="6" t="n"/>
      <c r="C59" s="5" t="n"/>
      <c r="D59" s="5" t="n"/>
      <c r="E59" s="7" t="n"/>
      <c r="F59" s="8" t="n"/>
      <c r="G59" s="8" t="n"/>
      <c r="H59" s="5" t="n"/>
      <c r="I59" s="6" t="n"/>
      <c r="J59" s="5" t="n"/>
      <c r="K59" s="6" t="n"/>
      <c r="L59" s="5" t="n"/>
      <c r="M59">
        <f>IF(OR($G59="",Summary!$B$2=""),"",IF($G59&gt;=Summary!$B$2,"★ Attention",""))</f>
        <v/>
      </c>
    </row>
    <row r="60">
      <c r="A60" s="5" t="n"/>
      <c r="B60" s="6" t="n"/>
      <c r="C60" s="5" t="n"/>
      <c r="D60" s="5" t="n"/>
      <c r="E60" s="7" t="n"/>
      <c r="F60" s="8" t="n"/>
      <c r="G60" s="8" t="n"/>
      <c r="H60" s="5" t="n"/>
      <c r="I60" s="6" t="n"/>
      <c r="J60" s="5" t="n"/>
      <c r="K60" s="6" t="n"/>
      <c r="L60" s="5" t="n"/>
      <c r="M60">
        <f>IF(OR($G60="",Summary!$B$2=""),"",IF($G60&gt;=Summary!$B$2,"★ Attention",""))</f>
        <v/>
      </c>
    </row>
    <row r="61">
      <c r="A61" s="5" t="n"/>
      <c r="B61" s="6" t="n"/>
      <c r="C61" s="5" t="n"/>
      <c r="D61" s="5" t="n"/>
      <c r="E61" s="7" t="n"/>
      <c r="F61" s="8" t="n"/>
      <c r="G61" s="8" t="n"/>
      <c r="H61" s="5" t="n"/>
      <c r="I61" s="6" t="n"/>
      <c r="J61" s="5" t="n"/>
      <c r="K61" s="6" t="n"/>
      <c r="L61" s="5" t="n"/>
      <c r="M61">
        <f>IF(OR($G61="",Summary!$B$2=""),"",IF($G61&gt;=Summary!$B$2,"★ Attention",""))</f>
        <v/>
      </c>
    </row>
    <row r="62">
      <c r="A62" s="5" t="n"/>
      <c r="B62" s="6" t="n"/>
      <c r="C62" s="5" t="n"/>
      <c r="D62" s="5" t="n"/>
      <c r="E62" s="7" t="n"/>
      <c r="F62" s="8" t="n"/>
      <c r="G62" s="8" t="n"/>
      <c r="H62" s="5" t="n"/>
      <c r="I62" s="6" t="n"/>
      <c r="J62" s="5" t="n"/>
      <c r="K62" s="6" t="n"/>
      <c r="L62" s="5" t="n"/>
      <c r="M62">
        <f>IF(OR($G62="",Summary!$B$2=""),"",IF($G62&gt;=Summary!$B$2,"★ Attention",""))</f>
        <v/>
      </c>
    </row>
    <row r="63">
      <c r="A63" s="5" t="n"/>
      <c r="B63" s="6" t="n"/>
      <c r="C63" s="5" t="n"/>
      <c r="D63" s="5" t="n"/>
      <c r="E63" s="7" t="n"/>
      <c r="F63" s="8" t="n"/>
      <c r="G63" s="8" t="n"/>
      <c r="H63" s="5" t="n"/>
      <c r="I63" s="6" t="n"/>
      <c r="J63" s="5" t="n"/>
      <c r="K63" s="6" t="n"/>
      <c r="L63" s="5" t="n"/>
      <c r="M63">
        <f>IF(OR($G63="",Summary!$B$2=""),"",IF($G63&gt;=Summary!$B$2,"★ Attention",""))</f>
        <v/>
      </c>
    </row>
    <row r="64">
      <c r="A64" s="5" t="n"/>
      <c r="B64" s="6" t="n"/>
      <c r="C64" s="5" t="n"/>
      <c r="D64" s="5" t="n"/>
      <c r="E64" s="7" t="n"/>
      <c r="F64" s="8" t="n"/>
      <c r="G64" s="8" t="n"/>
      <c r="H64" s="5" t="n"/>
      <c r="I64" s="6" t="n"/>
      <c r="J64" s="5" t="n"/>
      <c r="K64" s="6" t="n"/>
      <c r="L64" s="5" t="n"/>
      <c r="M64">
        <f>IF(OR($G64="",Summary!$B$2=""),"",IF($G64&gt;=Summary!$B$2,"★ Attention",""))</f>
        <v/>
      </c>
    </row>
    <row r="65">
      <c r="A65" s="5" t="n"/>
      <c r="B65" s="6" t="n"/>
      <c r="C65" s="5" t="n"/>
      <c r="D65" s="5" t="n"/>
      <c r="E65" s="7" t="n"/>
      <c r="F65" s="8" t="n"/>
      <c r="G65" s="8" t="n"/>
      <c r="H65" s="5" t="n"/>
      <c r="I65" s="6" t="n"/>
      <c r="J65" s="5" t="n"/>
      <c r="K65" s="6" t="n"/>
      <c r="L65" s="5" t="n"/>
      <c r="M65">
        <f>IF(OR($G65="",Summary!$B$2=""),"",IF($G65&gt;=Summary!$B$2,"★ Attention",""))</f>
        <v/>
      </c>
    </row>
    <row r="66">
      <c r="A66" s="5" t="n"/>
      <c r="B66" s="6" t="n"/>
      <c r="C66" s="5" t="n"/>
      <c r="D66" s="5" t="n"/>
      <c r="E66" s="7" t="n"/>
      <c r="F66" s="8" t="n"/>
      <c r="G66" s="8" t="n"/>
      <c r="H66" s="5" t="n"/>
      <c r="I66" s="6" t="n"/>
      <c r="J66" s="5" t="n"/>
      <c r="K66" s="6" t="n"/>
      <c r="L66" s="5" t="n"/>
      <c r="M66">
        <f>IF(OR($G66="",Summary!$B$2=""),"",IF($G66&gt;=Summary!$B$2,"★ Attention",""))</f>
        <v/>
      </c>
    </row>
    <row r="67">
      <c r="A67" s="5" t="n"/>
      <c r="B67" s="6" t="n"/>
      <c r="C67" s="5" t="n"/>
      <c r="D67" s="5" t="n"/>
      <c r="E67" s="7" t="n"/>
      <c r="F67" s="8" t="n"/>
      <c r="G67" s="8" t="n"/>
      <c r="H67" s="5" t="n"/>
      <c r="I67" s="6" t="n"/>
      <c r="J67" s="5" t="n"/>
      <c r="K67" s="6" t="n"/>
      <c r="L67" s="5" t="n"/>
      <c r="M67">
        <f>IF(OR($G67="",Summary!$B$2=""),"",IF($G67&gt;=Summary!$B$2,"★ Attention",""))</f>
        <v/>
      </c>
    </row>
    <row r="68">
      <c r="A68" s="5" t="n"/>
      <c r="B68" s="6" t="n"/>
      <c r="C68" s="5" t="n"/>
      <c r="D68" s="5" t="n"/>
      <c r="E68" s="7" t="n"/>
      <c r="F68" s="8" t="n"/>
      <c r="G68" s="8" t="n"/>
      <c r="H68" s="5" t="n"/>
      <c r="I68" s="6" t="n"/>
      <c r="J68" s="5" t="n"/>
      <c r="K68" s="6" t="n"/>
      <c r="L68" s="5" t="n"/>
      <c r="M68">
        <f>IF(OR($G68="",Summary!$B$2=""),"",IF($G68&gt;=Summary!$B$2,"★ Attention",""))</f>
        <v/>
      </c>
    </row>
    <row r="69">
      <c r="A69" s="5" t="n"/>
      <c r="B69" s="6" t="n"/>
      <c r="C69" s="5" t="n"/>
      <c r="D69" s="5" t="n"/>
      <c r="E69" s="7" t="n"/>
      <c r="F69" s="8" t="n"/>
      <c r="G69" s="8" t="n"/>
      <c r="H69" s="5" t="n"/>
      <c r="I69" s="6" t="n"/>
      <c r="J69" s="5" t="n"/>
      <c r="K69" s="6" t="n"/>
      <c r="L69" s="5" t="n"/>
      <c r="M69">
        <f>IF(OR($G69="",Summary!$B$2=""),"",IF($G69&gt;=Summary!$B$2,"★ Attention",""))</f>
        <v/>
      </c>
    </row>
    <row r="70">
      <c r="A70" s="5" t="n"/>
      <c r="B70" s="6" t="n"/>
      <c r="C70" s="5" t="n"/>
      <c r="D70" s="5" t="n"/>
      <c r="E70" s="7" t="n"/>
      <c r="F70" s="8" t="n"/>
      <c r="G70" s="8" t="n"/>
      <c r="H70" s="5" t="n"/>
      <c r="I70" s="6" t="n"/>
      <c r="J70" s="5" t="n"/>
      <c r="K70" s="6" t="n"/>
      <c r="L70" s="5" t="n"/>
      <c r="M70">
        <f>IF(OR($G70="",Summary!$B$2=""),"",IF($G70&gt;=Summary!$B$2,"★ Attention",""))</f>
        <v/>
      </c>
    </row>
    <row r="71">
      <c r="A71" s="5" t="n"/>
      <c r="B71" s="6" t="n"/>
      <c r="C71" s="5" t="n"/>
      <c r="D71" s="5" t="n"/>
      <c r="E71" s="7" t="n"/>
      <c r="F71" s="8" t="n"/>
      <c r="G71" s="8" t="n"/>
      <c r="H71" s="5" t="n"/>
      <c r="I71" s="6" t="n"/>
      <c r="J71" s="5" t="n"/>
      <c r="K71" s="6" t="n"/>
      <c r="L71" s="5" t="n"/>
      <c r="M71">
        <f>IF(OR($G71="",Summary!$B$2=""),"",IF($G71&gt;=Summary!$B$2,"★ Attention",""))</f>
        <v/>
      </c>
    </row>
    <row r="72">
      <c r="A72" s="5" t="n"/>
      <c r="B72" s="6" t="n"/>
      <c r="C72" s="5" t="n"/>
      <c r="D72" s="5" t="n"/>
      <c r="E72" s="7" t="n"/>
      <c r="F72" s="8" t="n"/>
      <c r="G72" s="8" t="n"/>
      <c r="H72" s="5" t="n"/>
      <c r="I72" s="6" t="n"/>
      <c r="J72" s="5" t="n"/>
      <c r="K72" s="6" t="n"/>
      <c r="L72" s="5" t="n"/>
      <c r="M72">
        <f>IF(OR($G72="",Summary!$B$2=""),"",IF($G72&gt;=Summary!$B$2,"★ Attention",""))</f>
        <v/>
      </c>
    </row>
    <row r="73">
      <c r="A73" s="5" t="n"/>
      <c r="B73" s="6" t="n"/>
      <c r="C73" s="5" t="n"/>
      <c r="D73" s="5" t="n"/>
      <c r="E73" s="7" t="n"/>
      <c r="F73" s="8" t="n"/>
      <c r="G73" s="8" t="n"/>
      <c r="H73" s="5" t="n"/>
      <c r="I73" s="6" t="n"/>
      <c r="J73" s="5" t="n"/>
      <c r="K73" s="6" t="n"/>
      <c r="L73" s="5" t="n"/>
      <c r="M73">
        <f>IF(OR($G73="",Summary!$B$2=""),"",IF($G73&gt;=Summary!$B$2,"★ Attention",""))</f>
        <v/>
      </c>
    </row>
    <row r="74">
      <c r="A74" s="5" t="n"/>
      <c r="B74" s="6" t="n"/>
      <c r="C74" s="5" t="n"/>
      <c r="D74" s="5" t="n"/>
      <c r="E74" s="7" t="n"/>
      <c r="F74" s="8" t="n"/>
      <c r="G74" s="8" t="n"/>
      <c r="H74" s="5" t="n"/>
      <c r="I74" s="6" t="n"/>
      <c r="J74" s="5" t="n"/>
      <c r="K74" s="6" t="n"/>
      <c r="L74" s="5" t="n"/>
      <c r="M74">
        <f>IF(OR($G74="",Summary!$B$2=""),"",IF($G74&gt;=Summary!$B$2,"★ Attention",""))</f>
        <v/>
      </c>
    </row>
    <row r="75">
      <c r="A75" s="5" t="n"/>
      <c r="B75" s="6" t="n"/>
      <c r="C75" s="5" t="n"/>
      <c r="D75" s="5" t="n"/>
      <c r="E75" s="7" t="n"/>
      <c r="F75" s="8" t="n"/>
      <c r="G75" s="8" t="n"/>
      <c r="H75" s="5" t="n"/>
      <c r="I75" s="6" t="n"/>
      <c r="J75" s="5" t="n"/>
      <c r="K75" s="6" t="n"/>
      <c r="L75" s="5" t="n"/>
      <c r="M75">
        <f>IF(OR($G75="",Summary!$B$2=""),"",IF($G75&gt;=Summary!$B$2,"★ Attention",""))</f>
        <v/>
      </c>
    </row>
    <row r="76">
      <c r="A76" s="5" t="n"/>
      <c r="B76" s="6" t="n"/>
      <c r="C76" s="5" t="n"/>
      <c r="D76" s="5" t="n"/>
      <c r="E76" s="7" t="n"/>
      <c r="F76" s="8" t="n"/>
      <c r="G76" s="8" t="n"/>
      <c r="H76" s="5" t="n"/>
      <c r="I76" s="6" t="n"/>
      <c r="J76" s="5" t="n"/>
      <c r="K76" s="6" t="n"/>
      <c r="L76" s="5" t="n"/>
      <c r="M76">
        <f>IF(OR($G76="",Summary!$B$2=""),"",IF($G76&gt;=Summary!$B$2,"★ Attention",""))</f>
        <v/>
      </c>
    </row>
    <row r="77">
      <c r="A77" s="5" t="n"/>
      <c r="B77" s="6" t="n"/>
      <c r="C77" s="5" t="n"/>
      <c r="D77" s="5" t="n"/>
      <c r="E77" s="7" t="n"/>
      <c r="F77" s="8" t="n"/>
      <c r="G77" s="8" t="n"/>
      <c r="H77" s="5" t="n"/>
      <c r="I77" s="6" t="n"/>
      <c r="J77" s="5" t="n"/>
      <c r="K77" s="6" t="n"/>
      <c r="L77" s="5" t="n"/>
      <c r="M77">
        <f>IF(OR($G77="",Summary!$B$2=""),"",IF($G77&gt;=Summary!$B$2,"★ Attention",""))</f>
        <v/>
      </c>
    </row>
    <row r="78">
      <c r="A78" s="5" t="n"/>
      <c r="B78" s="6" t="n"/>
      <c r="C78" s="5" t="n"/>
      <c r="D78" s="5" t="n"/>
      <c r="E78" s="7" t="n"/>
      <c r="F78" s="8" t="n"/>
      <c r="G78" s="8" t="n"/>
      <c r="H78" s="5" t="n"/>
      <c r="I78" s="6" t="n"/>
      <c r="J78" s="5" t="n"/>
      <c r="K78" s="6" t="n"/>
      <c r="L78" s="5" t="n"/>
      <c r="M78">
        <f>IF(OR($G78="",Summary!$B$2=""),"",IF($G78&gt;=Summary!$B$2,"★ Attention",""))</f>
        <v/>
      </c>
    </row>
    <row r="79">
      <c r="A79" s="5" t="n"/>
      <c r="B79" s="6" t="n"/>
      <c r="C79" s="5" t="n"/>
      <c r="D79" s="5" t="n"/>
      <c r="E79" s="7" t="n"/>
      <c r="F79" s="8" t="n"/>
      <c r="G79" s="8" t="n"/>
      <c r="H79" s="5" t="n"/>
      <c r="I79" s="6" t="n"/>
      <c r="J79" s="5" t="n"/>
      <c r="K79" s="6" t="n"/>
      <c r="L79" s="5" t="n"/>
      <c r="M79">
        <f>IF(OR($G79="",Summary!$B$2=""),"",IF($G79&gt;=Summary!$B$2,"★ Attention",""))</f>
        <v/>
      </c>
    </row>
    <row r="80">
      <c r="A80" s="5" t="n"/>
      <c r="B80" s="6" t="n"/>
      <c r="C80" s="5" t="n"/>
      <c r="D80" s="5" t="n"/>
      <c r="E80" s="7" t="n"/>
      <c r="F80" s="8" t="n"/>
      <c r="G80" s="8" t="n"/>
      <c r="H80" s="5" t="n"/>
      <c r="I80" s="6" t="n"/>
      <c r="J80" s="5" t="n"/>
      <c r="K80" s="6" t="n"/>
      <c r="L80" s="5" t="n"/>
      <c r="M80">
        <f>IF(OR($G80="",Summary!$B$2=""),"",IF($G80&gt;=Summary!$B$2,"★ Attention",""))</f>
        <v/>
      </c>
    </row>
    <row r="81">
      <c r="A81" s="5" t="n"/>
      <c r="B81" s="6" t="n"/>
      <c r="C81" s="5" t="n"/>
      <c r="D81" s="5" t="n"/>
      <c r="E81" s="7" t="n"/>
      <c r="F81" s="8" t="n"/>
      <c r="G81" s="8" t="n"/>
      <c r="H81" s="5" t="n"/>
      <c r="I81" s="6" t="n"/>
      <c r="J81" s="5" t="n"/>
      <c r="K81" s="6" t="n"/>
      <c r="L81" s="5" t="n"/>
      <c r="M81">
        <f>IF(OR($G81="",Summary!$B$2=""),"",IF($G81&gt;=Summary!$B$2,"★ Attention",""))</f>
        <v/>
      </c>
    </row>
    <row r="82">
      <c r="A82" s="5" t="n"/>
      <c r="B82" s="6" t="n"/>
      <c r="C82" s="5" t="n"/>
      <c r="D82" s="5" t="n"/>
      <c r="E82" s="7" t="n"/>
      <c r="F82" s="8" t="n"/>
      <c r="G82" s="8" t="n"/>
      <c r="H82" s="5" t="n"/>
      <c r="I82" s="6" t="n"/>
      <c r="J82" s="5" t="n"/>
      <c r="K82" s="6" t="n"/>
      <c r="L82" s="5" t="n"/>
      <c r="M82">
        <f>IF(OR($G82="",Summary!$B$2=""),"",IF($G82&gt;=Summary!$B$2,"★ Attention",""))</f>
        <v/>
      </c>
    </row>
    <row r="83">
      <c r="A83" s="5" t="n"/>
      <c r="B83" s="6" t="n"/>
      <c r="C83" s="5" t="n"/>
      <c r="D83" s="5" t="n"/>
      <c r="E83" s="7" t="n"/>
      <c r="F83" s="8" t="n"/>
      <c r="G83" s="8" t="n"/>
      <c r="H83" s="5" t="n"/>
      <c r="I83" s="6" t="n"/>
      <c r="J83" s="5" t="n"/>
      <c r="K83" s="6" t="n"/>
      <c r="L83" s="5" t="n"/>
      <c r="M83">
        <f>IF(OR($G83="",Summary!$B$2=""),"",IF($G83&gt;=Summary!$B$2,"★ Attention",""))</f>
        <v/>
      </c>
    </row>
    <row r="84">
      <c r="A84" s="5" t="n"/>
      <c r="B84" s="6" t="n"/>
      <c r="C84" s="5" t="n"/>
      <c r="D84" s="5" t="n"/>
      <c r="E84" s="7" t="n"/>
      <c r="F84" s="8" t="n"/>
      <c r="G84" s="8" t="n"/>
      <c r="H84" s="5" t="n"/>
      <c r="I84" s="6" t="n"/>
      <c r="J84" s="5" t="n"/>
      <c r="K84" s="6" t="n"/>
      <c r="L84" s="5" t="n"/>
      <c r="M84">
        <f>IF(OR($G84="",Summary!$B$2=""),"",IF($G84&gt;=Summary!$B$2,"★ Attention",""))</f>
        <v/>
      </c>
    </row>
    <row r="85">
      <c r="A85" s="5" t="n"/>
      <c r="B85" s="6" t="n"/>
      <c r="C85" s="5" t="n"/>
      <c r="D85" s="5" t="n"/>
      <c r="E85" s="7" t="n"/>
      <c r="F85" s="8" t="n"/>
      <c r="G85" s="8" t="n"/>
      <c r="H85" s="5" t="n"/>
      <c r="I85" s="6" t="n"/>
      <c r="J85" s="5" t="n"/>
      <c r="K85" s="6" t="n"/>
      <c r="L85" s="5" t="n"/>
      <c r="M85">
        <f>IF(OR($G85="",Summary!$B$2=""),"",IF($G85&gt;=Summary!$B$2,"★ Attention",""))</f>
        <v/>
      </c>
    </row>
    <row r="86">
      <c r="A86" s="5" t="n"/>
      <c r="B86" s="6" t="n"/>
      <c r="C86" s="5" t="n"/>
      <c r="D86" s="5" t="n"/>
      <c r="E86" s="7" t="n"/>
      <c r="F86" s="8" t="n"/>
      <c r="G86" s="8" t="n"/>
      <c r="H86" s="5" t="n"/>
      <c r="I86" s="6" t="n"/>
      <c r="J86" s="5" t="n"/>
      <c r="K86" s="6" t="n"/>
      <c r="L86" s="5" t="n"/>
      <c r="M86">
        <f>IF(OR($G86="",Summary!$B$2=""),"",IF($G86&gt;=Summary!$B$2,"★ Attention",""))</f>
        <v/>
      </c>
    </row>
    <row r="87">
      <c r="A87" s="5" t="n"/>
      <c r="B87" s="6" t="n"/>
      <c r="C87" s="5" t="n"/>
      <c r="D87" s="5" t="n"/>
      <c r="E87" s="7" t="n"/>
      <c r="F87" s="8" t="n"/>
      <c r="G87" s="8" t="n"/>
      <c r="H87" s="5" t="n"/>
      <c r="I87" s="6" t="n"/>
      <c r="J87" s="5" t="n"/>
      <c r="K87" s="6" t="n"/>
      <c r="L87" s="5" t="n"/>
      <c r="M87">
        <f>IF(OR($G87="",Summary!$B$2=""),"",IF($G87&gt;=Summary!$B$2,"★ Attention",""))</f>
        <v/>
      </c>
    </row>
    <row r="88">
      <c r="A88" s="5" t="n"/>
      <c r="B88" s="6" t="n"/>
      <c r="C88" s="5" t="n"/>
      <c r="D88" s="5" t="n"/>
      <c r="E88" s="7" t="n"/>
      <c r="F88" s="8" t="n"/>
      <c r="G88" s="8" t="n"/>
      <c r="H88" s="5" t="n"/>
      <c r="I88" s="6" t="n"/>
      <c r="J88" s="5" t="n"/>
      <c r="K88" s="6" t="n"/>
      <c r="L88" s="5" t="n"/>
      <c r="M88">
        <f>IF(OR($G88="",Summary!$B$2=""),"",IF($G88&gt;=Summary!$B$2,"★ Attention",""))</f>
        <v/>
      </c>
    </row>
    <row r="89">
      <c r="A89" s="5" t="n"/>
      <c r="B89" s="6" t="n"/>
      <c r="C89" s="5" t="n"/>
      <c r="D89" s="5" t="n"/>
      <c r="E89" s="7" t="n"/>
      <c r="F89" s="8" t="n"/>
      <c r="G89" s="8" t="n"/>
      <c r="H89" s="5" t="n"/>
      <c r="I89" s="6" t="n"/>
      <c r="J89" s="5" t="n"/>
      <c r="K89" s="6" t="n"/>
      <c r="L89" s="5" t="n"/>
      <c r="M89">
        <f>IF(OR($G89="",Summary!$B$2=""),"",IF($G89&gt;=Summary!$B$2,"★ Attention",""))</f>
        <v/>
      </c>
    </row>
    <row r="90">
      <c r="A90" s="5" t="n"/>
      <c r="B90" s="6" t="n"/>
      <c r="C90" s="5" t="n"/>
      <c r="D90" s="5" t="n"/>
      <c r="E90" s="7" t="n"/>
      <c r="F90" s="8" t="n"/>
      <c r="G90" s="8" t="n"/>
      <c r="H90" s="5" t="n"/>
      <c r="I90" s="6" t="n"/>
      <c r="J90" s="5" t="n"/>
      <c r="K90" s="6" t="n"/>
      <c r="L90" s="5" t="n"/>
      <c r="M90">
        <f>IF(OR($G90="",Summary!$B$2=""),"",IF($G90&gt;=Summary!$B$2,"★ Attention",""))</f>
        <v/>
      </c>
    </row>
    <row r="91">
      <c r="A91" s="5" t="n"/>
      <c r="B91" s="6" t="n"/>
      <c r="C91" s="5" t="n"/>
      <c r="D91" s="5" t="n"/>
      <c r="E91" s="7" t="n"/>
      <c r="F91" s="8" t="n"/>
      <c r="G91" s="8" t="n"/>
      <c r="H91" s="5" t="n"/>
      <c r="I91" s="6" t="n"/>
      <c r="J91" s="5" t="n"/>
      <c r="K91" s="6" t="n"/>
      <c r="L91" s="5" t="n"/>
      <c r="M91">
        <f>IF(OR($G91="",Summary!$B$2=""),"",IF($G91&gt;=Summary!$B$2,"★ Attention",""))</f>
        <v/>
      </c>
    </row>
    <row r="92">
      <c r="A92" s="5" t="n"/>
      <c r="B92" s="6" t="n"/>
      <c r="C92" s="5" t="n"/>
      <c r="D92" s="5" t="n"/>
      <c r="E92" s="7" t="n"/>
      <c r="F92" s="8" t="n"/>
      <c r="G92" s="8" t="n"/>
      <c r="H92" s="5" t="n"/>
      <c r="I92" s="6" t="n"/>
      <c r="J92" s="5" t="n"/>
      <c r="K92" s="6" t="n"/>
      <c r="L92" s="5" t="n"/>
      <c r="M92">
        <f>IF(OR($G92="",Summary!$B$2=""),"",IF($G92&gt;=Summary!$B$2,"★ Attention",""))</f>
        <v/>
      </c>
    </row>
    <row r="93">
      <c r="A93" s="5" t="n"/>
      <c r="B93" s="6" t="n"/>
      <c r="C93" s="5" t="n"/>
      <c r="D93" s="5" t="n"/>
      <c r="E93" s="7" t="n"/>
      <c r="F93" s="8" t="n"/>
      <c r="G93" s="8" t="n"/>
      <c r="H93" s="5" t="n"/>
      <c r="I93" s="6" t="n"/>
      <c r="J93" s="5" t="n"/>
      <c r="K93" s="6" t="n"/>
      <c r="L93" s="5" t="n"/>
      <c r="M93">
        <f>IF(OR($G93="",Summary!$B$2=""),"",IF($G93&gt;=Summary!$B$2,"★ Attention",""))</f>
        <v/>
      </c>
    </row>
    <row r="94">
      <c r="A94" s="5" t="n"/>
      <c r="B94" s="6" t="n"/>
      <c r="C94" s="5" t="n"/>
      <c r="D94" s="5" t="n"/>
      <c r="E94" s="7" t="n"/>
      <c r="F94" s="8" t="n"/>
      <c r="G94" s="8" t="n"/>
      <c r="H94" s="5" t="n"/>
      <c r="I94" s="6" t="n"/>
      <c r="J94" s="5" t="n"/>
      <c r="K94" s="6" t="n"/>
      <c r="L94" s="5" t="n"/>
      <c r="M94">
        <f>IF(OR($G94="",Summary!$B$2=""),"",IF($G94&gt;=Summary!$B$2,"★ Attention",""))</f>
        <v/>
      </c>
    </row>
    <row r="95">
      <c r="A95" s="5" t="n"/>
      <c r="B95" s="6" t="n"/>
      <c r="C95" s="5" t="n"/>
      <c r="D95" s="5" t="n"/>
      <c r="E95" s="7" t="n"/>
      <c r="F95" s="8" t="n"/>
      <c r="G95" s="8" t="n"/>
      <c r="H95" s="5" t="n"/>
      <c r="I95" s="6" t="n"/>
      <c r="J95" s="5" t="n"/>
      <c r="K95" s="6" t="n"/>
      <c r="L95" s="5" t="n"/>
      <c r="M95">
        <f>IF(OR($G95="",Summary!$B$2=""),"",IF($G95&gt;=Summary!$B$2,"★ Attention",""))</f>
        <v/>
      </c>
    </row>
    <row r="96">
      <c r="A96" s="5" t="n"/>
      <c r="B96" s="6" t="n"/>
      <c r="C96" s="5" t="n"/>
      <c r="D96" s="5" t="n"/>
      <c r="E96" s="7" t="n"/>
      <c r="F96" s="8" t="n"/>
      <c r="G96" s="8" t="n"/>
      <c r="H96" s="5" t="n"/>
      <c r="I96" s="6" t="n"/>
      <c r="J96" s="5" t="n"/>
      <c r="K96" s="6" t="n"/>
      <c r="L96" s="5" t="n"/>
      <c r="M96">
        <f>IF(OR($G96="",Summary!$B$2=""),"",IF($G96&gt;=Summary!$B$2,"★ Attention",""))</f>
        <v/>
      </c>
    </row>
    <row r="97">
      <c r="A97" s="5" t="n"/>
      <c r="B97" s="6" t="n"/>
      <c r="C97" s="5" t="n"/>
      <c r="D97" s="5" t="n"/>
      <c r="E97" s="7" t="n"/>
      <c r="F97" s="8" t="n"/>
      <c r="G97" s="8" t="n"/>
      <c r="H97" s="5" t="n"/>
      <c r="I97" s="6" t="n"/>
      <c r="J97" s="5" t="n"/>
      <c r="K97" s="6" t="n"/>
      <c r="L97" s="5" t="n"/>
      <c r="M97">
        <f>IF(OR($G97="",Summary!$B$2=""),"",IF($G97&gt;=Summary!$B$2,"★ Attention",""))</f>
        <v/>
      </c>
    </row>
    <row r="98">
      <c r="A98" s="5" t="n"/>
      <c r="B98" s="6" t="n"/>
      <c r="C98" s="5" t="n"/>
      <c r="D98" s="5" t="n"/>
      <c r="E98" s="7" t="n"/>
      <c r="F98" s="8" t="n"/>
      <c r="G98" s="8" t="n"/>
      <c r="H98" s="5" t="n"/>
      <c r="I98" s="6" t="n"/>
      <c r="J98" s="5" t="n"/>
      <c r="K98" s="6" t="n"/>
      <c r="L98" s="5" t="n"/>
      <c r="M98">
        <f>IF(OR($G98="",Summary!$B$2=""),"",IF($G98&gt;=Summary!$B$2,"★ Attention",""))</f>
        <v/>
      </c>
    </row>
    <row r="99">
      <c r="A99" s="5" t="n"/>
      <c r="B99" s="6" t="n"/>
      <c r="C99" s="5" t="n"/>
      <c r="D99" s="5" t="n"/>
      <c r="E99" s="7" t="n"/>
      <c r="F99" s="8" t="n"/>
      <c r="G99" s="8" t="n"/>
      <c r="H99" s="5" t="n"/>
      <c r="I99" s="6" t="n"/>
      <c r="J99" s="5" t="n"/>
      <c r="K99" s="6" t="n"/>
      <c r="L99" s="5" t="n"/>
      <c r="M99">
        <f>IF(OR($G99="",Summary!$B$2=""),"",IF($G99&gt;=Summary!$B$2,"★ Attention",""))</f>
        <v/>
      </c>
    </row>
    <row r="100">
      <c r="A100" s="5" t="n"/>
      <c r="B100" s="6" t="n"/>
      <c r="C100" s="5" t="n"/>
      <c r="D100" s="5" t="n"/>
      <c r="E100" s="7" t="n"/>
      <c r="F100" s="8" t="n"/>
      <c r="G100" s="8" t="n"/>
      <c r="H100" s="5" t="n"/>
      <c r="I100" s="6" t="n"/>
      <c r="J100" s="5" t="n"/>
      <c r="K100" s="6" t="n"/>
      <c r="L100" s="5" t="n"/>
      <c r="M100">
        <f>IF(OR($G100="",Summary!$B$2=""),"",IF($G100&gt;=Summary!$B$2,"★ Attention",""))</f>
        <v/>
      </c>
    </row>
    <row r="101">
      <c r="A101" s="5" t="n"/>
      <c r="B101" s="6" t="n"/>
      <c r="C101" s="5" t="n"/>
      <c r="D101" s="5" t="n"/>
      <c r="E101" s="7" t="n"/>
      <c r="F101" s="8" t="n"/>
      <c r="G101" s="8" t="n"/>
      <c r="H101" s="5" t="n"/>
      <c r="I101" s="6" t="n"/>
      <c r="J101" s="5" t="n"/>
      <c r="K101" s="6" t="n"/>
      <c r="L101" s="5" t="n"/>
      <c r="M101">
        <f>IF(OR($G101="",Summary!$B$2=""),"",IF($G101&gt;=Summary!$B$2,"★ Attention",""))</f>
        <v/>
      </c>
    </row>
    <row r="102">
      <c r="A102" s="5" t="n"/>
      <c r="B102" s="6" t="n"/>
      <c r="C102" s="5" t="n"/>
      <c r="D102" s="5" t="n"/>
      <c r="E102" s="7" t="n"/>
      <c r="F102" s="8" t="n"/>
      <c r="G102" s="8" t="n"/>
      <c r="H102" s="5" t="n"/>
      <c r="I102" s="6" t="n"/>
      <c r="J102" s="5" t="n"/>
      <c r="K102" s="6" t="n"/>
      <c r="L102" s="5" t="n"/>
      <c r="M102">
        <f>IF(OR($G102="",Summary!$B$2=""),"",IF($G102&gt;=Summary!$B$2,"★ Attention",""))</f>
        <v/>
      </c>
    </row>
    <row r="103">
      <c r="A103" s="5" t="n"/>
      <c r="B103" s="6" t="n"/>
      <c r="C103" s="5" t="n"/>
      <c r="D103" s="5" t="n"/>
      <c r="E103" s="7" t="n"/>
      <c r="F103" s="8" t="n"/>
      <c r="G103" s="8" t="n"/>
      <c r="H103" s="5" t="n"/>
      <c r="I103" s="6" t="n"/>
      <c r="J103" s="5" t="n"/>
      <c r="K103" s="6" t="n"/>
      <c r="L103" s="5" t="n"/>
      <c r="M103">
        <f>IF(OR($G103="",Summary!$B$2=""),"",IF($G103&gt;=Summary!$B$2,"★ Attention",""))</f>
        <v/>
      </c>
    </row>
    <row r="104">
      <c r="A104" s="5" t="n"/>
      <c r="B104" s="6" t="n"/>
      <c r="C104" s="5" t="n"/>
      <c r="D104" s="5" t="n"/>
      <c r="E104" s="7" t="n"/>
      <c r="F104" s="8" t="n"/>
      <c r="G104" s="8" t="n"/>
      <c r="H104" s="5" t="n"/>
      <c r="I104" s="6" t="n"/>
      <c r="J104" s="5" t="n"/>
      <c r="K104" s="6" t="n"/>
      <c r="L104" s="5" t="n"/>
      <c r="M104">
        <f>IF(OR($G104="",Summary!$B$2=""),"",IF($G104&gt;=Summary!$B$2,"★ Attention",""))</f>
        <v/>
      </c>
    </row>
    <row r="105">
      <c r="A105" s="5" t="n"/>
      <c r="B105" s="6" t="n"/>
      <c r="C105" s="5" t="n"/>
      <c r="D105" s="5" t="n"/>
      <c r="E105" s="7" t="n"/>
      <c r="F105" s="8" t="n"/>
      <c r="G105" s="8" t="n"/>
      <c r="H105" s="5" t="n"/>
      <c r="I105" s="6" t="n"/>
      <c r="J105" s="5" t="n"/>
      <c r="K105" s="6" t="n"/>
      <c r="L105" s="5" t="n"/>
      <c r="M105">
        <f>IF(OR($G105="",Summary!$B$2=""),"",IF($G105&gt;=Summary!$B$2,"★ Attention",""))</f>
        <v/>
      </c>
    </row>
    <row r="106">
      <c r="A106" s="5" t="n"/>
      <c r="B106" s="6" t="n"/>
      <c r="C106" s="5" t="n"/>
      <c r="D106" s="5" t="n"/>
      <c r="E106" s="7" t="n"/>
      <c r="F106" s="8" t="n"/>
      <c r="G106" s="8" t="n"/>
      <c r="H106" s="5" t="n"/>
      <c r="I106" s="6" t="n"/>
      <c r="J106" s="5" t="n"/>
      <c r="K106" s="6" t="n"/>
      <c r="L106" s="5" t="n"/>
      <c r="M106">
        <f>IF(OR($G106="",Summary!$B$2=""),"",IF($G106&gt;=Summary!$B$2,"★ Attention",""))</f>
        <v/>
      </c>
    </row>
    <row r="107">
      <c r="A107" s="5" t="n"/>
      <c r="B107" s="6" t="n"/>
      <c r="C107" s="5" t="n"/>
      <c r="D107" s="5" t="n"/>
      <c r="E107" s="7" t="n"/>
      <c r="F107" s="8" t="n"/>
      <c r="G107" s="8" t="n"/>
      <c r="H107" s="5" t="n"/>
      <c r="I107" s="6" t="n"/>
      <c r="J107" s="5" t="n"/>
      <c r="K107" s="6" t="n"/>
      <c r="L107" s="5" t="n"/>
      <c r="M107">
        <f>IF(OR($G107="",Summary!$B$2=""),"",IF($G107&gt;=Summary!$B$2,"★ Attention",""))</f>
        <v/>
      </c>
    </row>
    <row r="108">
      <c r="A108" s="5" t="n"/>
      <c r="B108" s="6" t="n"/>
      <c r="C108" s="5" t="n"/>
      <c r="D108" s="5" t="n"/>
      <c r="E108" s="7" t="n"/>
      <c r="F108" s="8" t="n"/>
      <c r="G108" s="8" t="n"/>
      <c r="H108" s="5" t="n"/>
      <c r="I108" s="6" t="n"/>
      <c r="J108" s="5" t="n"/>
      <c r="K108" s="6" t="n"/>
      <c r="L108" s="5" t="n"/>
      <c r="M108">
        <f>IF(OR($G108="",Summary!$B$2=""),"",IF($G108&gt;=Summary!$B$2,"★ Attention",""))</f>
        <v/>
      </c>
    </row>
    <row r="109">
      <c r="A109" s="5" t="n"/>
      <c r="B109" s="6" t="n"/>
      <c r="C109" s="5" t="n"/>
      <c r="D109" s="5" t="n"/>
      <c r="E109" s="7" t="n"/>
      <c r="F109" s="8" t="n"/>
      <c r="G109" s="8" t="n"/>
      <c r="H109" s="5" t="n"/>
      <c r="I109" s="6" t="n"/>
      <c r="J109" s="5" t="n"/>
      <c r="K109" s="6" t="n"/>
      <c r="L109" s="5" t="n"/>
      <c r="M109">
        <f>IF(OR($G109="",Summary!$B$2=""),"",IF($G109&gt;=Summary!$B$2,"★ Attention",""))</f>
        <v/>
      </c>
    </row>
    <row r="110">
      <c r="A110" s="5" t="n"/>
      <c r="B110" s="6" t="n"/>
      <c r="C110" s="5" t="n"/>
      <c r="D110" s="5" t="n"/>
      <c r="E110" s="7" t="n"/>
      <c r="F110" s="8" t="n"/>
      <c r="G110" s="8" t="n"/>
      <c r="H110" s="5" t="n"/>
      <c r="I110" s="6" t="n"/>
      <c r="J110" s="5" t="n"/>
      <c r="K110" s="6" t="n"/>
      <c r="L110" s="5" t="n"/>
      <c r="M110">
        <f>IF(OR($G110="",Summary!$B$2=""),"",IF($G110&gt;=Summary!$B$2,"★ Attention",""))</f>
        <v/>
      </c>
    </row>
    <row r="111">
      <c r="A111" s="5" t="n"/>
      <c r="B111" s="6" t="n"/>
      <c r="C111" s="5" t="n"/>
      <c r="D111" s="5" t="n"/>
      <c r="E111" s="7" t="n"/>
      <c r="F111" s="8" t="n"/>
      <c r="G111" s="8" t="n"/>
      <c r="H111" s="5" t="n"/>
      <c r="I111" s="6" t="n"/>
      <c r="J111" s="5" t="n"/>
      <c r="K111" s="6" t="n"/>
      <c r="L111" s="5" t="n"/>
      <c r="M111">
        <f>IF(OR($G111="",Summary!$B$2=""),"",IF($G111&gt;=Summary!$B$2,"★ Attention",""))</f>
        <v/>
      </c>
    </row>
    <row r="112">
      <c r="A112" s="5" t="n"/>
      <c r="B112" s="6" t="n"/>
      <c r="C112" s="5" t="n"/>
      <c r="D112" s="5" t="n"/>
      <c r="E112" s="7" t="n"/>
      <c r="F112" s="8" t="n"/>
      <c r="G112" s="8" t="n"/>
      <c r="H112" s="5" t="n"/>
      <c r="I112" s="6" t="n"/>
      <c r="J112" s="5" t="n"/>
      <c r="K112" s="6" t="n"/>
      <c r="L112" s="5" t="n"/>
      <c r="M112">
        <f>IF(OR($G112="",Summary!$B$2=""),"",IF($G112&gt;=Summary!$B$2,"★ Attention",""))</f>
        <v/>
      </c>
    </row>
    <row r="113">
      <c r="A113" s="5" t="n"/>
      <c r="B113" s="6" t="n"/>
      <c r="C113" s="5" t="n"/>
      <c r="D113" s="5" t="n"/>
      <c r="E113" s="7" t="n"/>
      <c r="F113" s="8" t="n"/>
      <c r="G113" s="8" t="n"/>
      <c r="H113" s="5" t="n"/>
      <c r="I113" s="6" t="n"/>
      <c r="J113" s="5" t="n"/>
      <c r="K113" s="6" t="n"/>
      <c r="L113" s="5" t="n"/>
      <c r="M113">
        <f>IF(OR($G113="",Summary!$B$2=""),"",IF($G113&gt;=Summary!$B$2,"★ Attention",""))</f>
        <v/>
      </c>
    </row>
    <row r="114">
      <c r="A114" s="5" t="n"/>
      <c r="B114" s="6" t="n"/>
      <c r="C114" s="5" t="n"/>
      <c r="D114" s="5" t="n"/>
      <c r="E114" s="7" t="n"/>
      <c r="F114" s="8" t="n"/>
      <c r="G114" s="8" t="n"/>
      <c r="H114" s="5" t="n"/>
      <c r="I114" s="6" t="n"/>
      <c r="J114" s="5" t="n"/>
      <c r="K114" s="6" t="n"/>
      <c r="L114" s="5" t="n"/>
      <c r="M114">
        <f>IF(OR($G114="",Summary!$B$2=""),"",IF($G114&gt;=Summary!$B$2,"★ Attention",""))</f>
        <v/>
      </c>
    </row>
    <row r="115">
      <c r="A115" s="5" t="n"/>
      <c r="B115" s="6" t="n"/>
      <c r="C115" s="5" t="n"/>
      <c r="D115" s="5" t="n"/>
      <c r="E115" s="7" t="n"/>
      <c r="F115" s="8" t="n"/>
      <c r="G115" s="8" t="n"/>
      <c r="H115" s="5" t="n"/>
      <c r="I115" s="6" t="n"/>
      <c r="J115" s="5" t="n"/>
      <c r="K115" s="6" t="n"/>
      <c r="L115" s="5" t="n"/>
      <c r="M115">
        <f>IF(OR($G115="",Summary!$B$2=""),"",IF($G115&gt;=Summary!$B$2,"★ Attention",""))</f>
        <v/>
      </c>
    </row>
    <row r="116">
      <c r="A116" s="5" t="n"/>
      <c r="B116" s="6" t="n"/>
      <c r="C116" s="5" t="n"/>
      <c r="D116" s="5" t="n"/>
      <c r="E116" s="7" t="n"/>
      <c r="F116" s="8" t="n"/>
      <c r="G116" s="8" t="n"/>
      <c r="H116" s="5" t="n"/>
      <c r="I116" s="6" t="n"/>
      <c r="J116" s="5" t="n"/>
      <c r="K116" s="6" t="n"/>
      <c r="L116" s="5" t="n"/>
      <c r="M116">
        <f>IF(OR($G116="",Summary!$B$2=""),"",IF($G116&gt;=Summary!$B$2,"★ Attention",""))</f>
        <v/>
      </c>
    </row>
    <row r="117">
      <c r="A117" s="5" t="n"/>
      <c r="B117" s="6" t="n"/>
      <c r="C117" s="5" t="n"/>
      <c r="D117" s="5" t="n"/>
      <c r="E117" s="7" t="n"/>
      <c r="F117" s="8" t="n"/>
      <c r="G117" s="8" t="n"/>
      <c r="H117" s="5" t="n"/>
      <c r="I117" s="6" t="n"/>
      <c r="J117" s="5" t="n"/>
      <c r="K117" s="6" t="n"/>
      <c r="L117" s="5" t="n"/>
      <c r="M117">
        <f>IF(OR($G117="",Summary!$B$2=""),"",IF($G117&gt;=Summary!$B$2,"★ Attention",""))</f>
        <v/>
      </c>
    </row>
    <row r="118">
      <c r="A118" s="5" t="n"/>
      <c r="B118" s="6" t="n"/>
      <c r="C118" s="5" t="n"/>
      <c r="D118" s="5" t="n"/>
      <c r="E118" s="7" t="n"/>
      <c r="F118" s="8" t="n"/>
      <c r="G118" s="8" t="n"/>
      <c r="H118" s="5" t="n"/>
      <c r="I118" s="6" t="n"/>
      <c r="J118" s="5" t="n"/>
      <c r="K118" s="6" t="n"/>
      <c r="L118" s="5" t="n"/>
      <c r="M118">
        <f>IF(OR($G118="",Summary!$B$2=""),"",IF($G118&gt;=Summary!$B$2,"★ Attention",""))</f>
        <v/>
      </c>
    </row>
    <row r="119">
      <c r="A119" s="5" t="n"/>
      <c r="B119" s="6" t="n"/>
      <c r="C119" s="5" t="n"/>
      <c r="D119" s="5" t="n"/>
      <c r="E119" s="7" t="n"/>
      <c r="F119" s="8" t="n"/>
      <c r="G119" s="8" t="n"/>
      <c r="H119" s="5" t="n"/>
      <c r="I119" s="6" t="n"/>
      <c r="J119" s="5" t="n"/>
      <c r="K119" s="6" t="n"/>
      <c r="L119" s="5" t="n"/>
      <c r="M119">
        <f>IF(OR($G119="",Summary!$B$2=""),"",IF($G119&gt;=Summary!$B$2,"★ Attention",""))</f>
        <v/>
      </c>
    </row>
    <row r="120">
      <c r="A120" s="5" t="n"/>
      <c r="B120" s="6" t="n"/>
      <c r="C120" s="5" t="n"/>
      <c r="D120" s="5" t="n"/>
      <c r="E120" s="7" t="n"/>
      <c r="F120" s="8" t="n"/>
      <c r="G120" s="8" t="n"/>
      <c r="H120" s="5" t="n"/>
      <c r="I120" s="6" t="n"/>
      <c r="J120" s="5" t="n"/>
      <c r="K120" s="6" t="n"/>
      <c r="L120" s="5" t="n"/>
      <c r="M120">
        <f>IF(OR($G120="",Summary!$B$2=""),"",IF($G120&gt;=Summary!$B$2,"★ Attention",""))</f>
        <v/>
      </c>
    </row>
    <row r="121">
      <c r="A121" s="5" t="n"/>
      <c r="B121" s="6" t="n"/>
      <c r="C121" s="5" t="n"/>
      <c r="D121" s="5" t="n"/>
      <c r="E121" s="7" t="n"/>
      <c r="F121" s="8" t="n"/>
      <c r="G121" s="8" t="n"/>
      <c r="H121" s="5" t="n"/>
      <c r="I121" s="6" t="n"/>
      <c r="J121" s="5" t="n"/>
      <c r="K121" s="6" t="n"/>
      <c r="L121" s="5" t="n"/>
      <c r="M121">
        <f>IF(OR($G121="",Summary!$B$2=""),"",IF($G121&gt;=Summary!$B$2,"★ Attention",""))</f>
        <v/>
      </c>
    </row>
    <row r="122">
      <c r="A122" s="5" t="n"/>
      <c r="B122" s="6" t="n"/>
      <c r="C122" s="5" t="n"/>
      <c r="D122" s="5" t="n"/>
      <c r="E122" s="7" t="n"/>
      <c r="F122" s="8" t="n"/>
      <c r="G122" s="8" t="n"/>
      <c r="H122" s="5" t="n"/>
      <c r="I122" s="6" t="n"/>
      <c r="J122" s="5" t="n"/>
      <c r="K122" s="6" t="n"/>
      <c r="L122" s="5" t="n"/>
      <c r="M122">
        <f>IF(OR($G122="",Summary!$B$2=""),"",IF($G122&gt;=Summary!$B$2,"★ Attention",""))</f>
        <v/>
      </c>
    </row>
    <row r="123">
      <c r="A123" s="5" t="n"/>
      <c r="B123" s="6" t="n"/>
      <c r="C123" s="5" t="n"/>
      <c r="D123" s="5" t="n"/>
      <c r="E123" s="7" t="n"/>
      <c r="F123" s="8" t="n"/>
      <c r="G123" s="8" t="n"/>
      <c r="H123" s="5" t="n"/>
      <c r="I123" s="6" t="n"/>
      <c r="J123" s="5" t="n"/>
      <c r="K123" s="6" t="n"/>
      <c r="L123" s="5" t="n"/>
      <c r="M123">
        <f>IF(OR($G123="",Summary!$B$2=""),"",IF($G123&gt;=Summary!$B$2,"★ Attention",""))</f>
        <v/>
      </c>
    </row>
    <row r="124">
      <c r="A124" s="5" t="n"/>
      <c r="B124" s="6" t="n"/>
      <c r="C124" s="5" t="n"/>
      <c r="D124" s="5" t="n"/>
      <c r="E124" s="7" t="n"/>
      <c r="F124" s="8" t="n"/>
      <c r="G124" s="8" t="n"/>
      <c r="H124" s="5" t="n"/>
      <c r="I124" s="6" t="n"/>
      <c r="J124" s="5" t="n"/>
      <c r="K124" s="6" t="n"/>
      <c r="L124" s="5" t="n"/>
      <c r="M124">
        <f>IF(OR($G124="",Summary!$B$2=""),"",IF($G124&gt;=Summary!$B$2,"★ Attention",""))</f>
        <v/>
      </c>
    </row>
    <row r="125">
      <c r="A125" s="5" t="n"/>
      <c r="B125" s="6" t="n"/>
      <c r="C125" s="5" t="n"/>
      <c r="D125" s="5" t="n"/>
      <c r="E125" s="7" t="n"/>
      <c r="F125" s="8" t="n"/>
      <c r="G125" s="8" t="n"/>
      <c r="H125" s="5" t="n"/>
      <c r="I125" s="6" t="n"/>
      <c r="J125" s="5" t="n"/>
      <c r="K125" s="6" t="n"/>
      <c r="L125" s="5" t="n"/>
      <c r="M125">
        <f>IF(OR($G125="",Summary!$B$2=""),"",IF($G125&gt;=Summary!$B$2,"★ Attention",""))</f>
        <v/>
      </c>
    </row>
    <row r="126">
      <c r="A126" s="5" t="n"/>
      <c r="B126" s="6" t="n"/>
      <c r="C126" s="5" t="n"/>
      <c r="D126" s="5" t="n"/>
      <c r="E126" s="7" t="n"/>
      <c r="F126" s="8" t="n"/>
      <c r="G126" s="8" t="n"/>
      <c r="H126" s="5" t="n"/>
      <c r="I126" s="6" t="n"/>
      <c r="J126" s="5" t="n"/>
      <c r="K126" s="6" t="n"/>
      <c r="L126" s="5" t="n"/>
      <c r="M126">
        <f>IF(OR($G126="",Summary!$B$2=""),"",IF($G126&gt;=Summary!$B$2,"★ Attention",""))</f>
        <v/>
      </c>
    </row>
    <row r="127">
      <c r="A127" s="5" t="n"/>
      <c r="B127" s="6" t="n"/>
      <c r="C127" s="5" t="n"/>
      <c r="D127" s="5" t="n"/>
      <c r="E127" s="7" t="n"/>
      <c r="F127" s="8" t="n"/>
      <c r="G127" s="8" t="n"/>
      <c r="H127" s="5" t="n"/>
      <c r="I127" s="6" t="n"/>
      <c r="J127" s="5" t="n"/>
      <c r="K127" s="6" t="n"/>
      <c r="L127" s="5" t="n"/>
      <c r="M127">
        <f>IF(OR($G127="",Summary!$B$2=""),"",IF($G127&gt;=Summary!$B$2,"★ Attention",""))</f>
        <v/>
      </c>
    </row>
    <row r="128">
      <c r="A128" s="5" t="n"/>
      <c r="B128" s="6" t="n"/>
      <c r="C128" s="5" t="n"/>
      <c r="D128" s="5" t="n"/>
      <c r="E128" s="7" t="n"/>
      <c r="F128" s="8" t="n"/>
      <c r="G128" s="8" t="n"/>
      <c r="H128" s="5" t="n"/>
      <c r="I128" s="6" t="n"/>
      <c r="J128" s="5" t="n"/>
      <c r="K128" s="6" t="n"/>
      <c r="L128" s="5" t="n"/>
      <c r="M128">
        <f>IF(OR($G128="",Summary!$B$2=""),"",IF($G128&gt;=Summary!$B$2,"★ Attention",""))</f>
        <v/>
      </c>
    </row>
    <row r="129">
      <c r="A129" s="5" t="n"/>
      <c r="B129" s="6" t="n"/>
      <c r="C129" s="5" t="n"/>
      <c r="D129" s="5" t="n"/>
      <c r="E129" s="7" t="n"/>
      <c r="F129" s="8" t="n"/>
      <c r="G129" s="8" t="n"/>
      <c r="H129" s="5" t="n"/>
      <c r="I129" s="6" t="n"/>
      <c r="J129" s="5" t="n"/>
      <c r="K129" s="6" t="n"/>
      <c r="L129" s="5" t="n"/>
      <c r="M129">
        <f>IF(OR($G129="",Summary!$B$2=""),"",IF($G129&gt;=Summary!$B$2,"★ Attention",""))</f>
        <v/>
      </c>
    </row>
    <row r="130">
      <c r="A130" s="5" t="n"/>
      <c r="B130" s="6" t="n"/>
      <c r="C130" s="5" t="n"/>
      <c r="D130" s="5" t="n"/>
      <c r="E130" s="7" t="n"/>
      <c r="F130" s="8" t="n"/>
      <c r="G130" s="8" t="n"/>
      <c r="H130" s="5" t="n"/>
      <c r="I130" s="6" t="n"/>
      <c r="J130" s="5" t="n"/>
      <c r="K130" s="6" t="n"/>
      <c r="L130" s="5" t="n"/>
      <c r="M130">
        <f>IF(OR($G130="",Summary!$B$2=""),"",IF($G130&gt;=Summary!$B$2,"★ Attention",""))</f>
        <v/>
      </c>
    </row>
    <row r="131">
      <c r="A131" s="5" t="n"/>
      <c r="B131" s="6" t="n"/>
      <c r="C131" s="5" t="n"/>
      <c r="D131" s="5" t="n"/>
      <c r="E131" s="7" t="n"/>
      <c r="F131" s="8" t="n"/>
      <c r="G131" s="8" t="n"/>
      <c r="H131" s="5" t="n"/>
      <c r="I131" s="6" t="n"/>
      <c r="J131" s="5" t="n"/>
      <c r="K131" s="6" t="n"/>
      <c r="L131" s="5" t="n"/>
      <c r="M131">
        <f>IF(OR($G131="",Summary!$B$2=""),"",IF($G131&gt;=Summary!$B$2,"★ Attention",""))</f>
        <v/>
      </c>
    </row>
    <row r="132">
      <c r="A132" s="5" t="n"/>
      <c r="B132" s="6" t="n"/>
      <c r="C132" s="5" t="n"/>
      <c r="D132" s="5" t="n"/>
      <c r="E132" s="7" t="n"/>
      <c r="F132" s="8" t="n"/>
      <c r="G132" s="8" t="n"/>
      <c r="H132" s="5" t="n"/>
      <c r="I132" s="6" t="n"/>
      <c r="J132" s="5" t="n"/>
      <c r="K132" s="6" t="n"/>
      <c r="L132" s="5" t="n"/>
      <c r="M132">
        <f>IF(OR($G132="",Summary!$B$2=""),"",IF($G132&gt;=Summary!$B$2,"★ Attention",""))</f>
        <v/>
      </c>
    </row>
    <row r="133">
      <c r="A133" s="5" t="n"/>
      <c r="B133" s="6" t="n"/>
      <c r="C133" s="5" t="n"/>
      <c r="D133" s="5" t="n"/>
      <c r="E133" s="7" t="n"/>
      <c r="F133" s="8" t="n"/>
      <c r="G133" s="8" t="n"/>
      <c r="H133" s="5" t="n"/>
      <c r="I133" s="6" t="n"/>
      <c r="J133" s="5" t="n"/>
      <c r="K133" s="6" t="n"/>
      <c r="L133" s="5" t="n"/>
      <c r="M133">
        <f>IF(OR($G133="",Summary!$B$2=""),"",IF($G133&gt;=Summary!$B$2,"★ Attention",""))</f>
        <v/>
      </c>
    </row>
    <row r="134">
      <c r="A134" s="5" t="n"/>
      <c r="B134" s="6" t="n"/>
      <c r="C134" s="5" t="n"/>
      <c r="D134" s="5" t="n"/>
      <c r="E134" s="7" t="n"/>
      <c r="F134" s="8" t="n"/>
      <c r="G134" s="8" t="n"/>
      <c r="H134" s="5" t="n"/>
      <c r="I134" s="6" t="n"/>
      <c r="J134" s="5" t="n"/>
      <c r="K134" s="6" t="n"/>
      <c r="L134" s="5" t="n"/>
      <c r="M134">
        <f>IF(OR($G134="",Summary!$B$2=""),"",IF($G134&gt;=Summary!$B$2,"★ Attention",""))</f>
        <v/>
      </c>
    </row>
    <row r="135">
      <c r="A135" s="5" t="n"/>
      <c r="B135" s="6" t="n"/>
      <c r="C135" s="5" t="n"/>
      <c r="D135" s="5" t="n"/>
      <c r="E135" s="7" t="n"/>
      <c r="F135" s="8" t="n"/>
      <c r="G135" s="8" t="n"/>
      <c r="H135" s="5" t="n"/>
      <c r="I135" s="6" t="n"/>
      <c r="J135" s="5" t="n"/>
      <c r="K135" s="6" t="n"/>
      <c r="L135" s="5" t="n"/>
      <c r="M135">
        <f>IF(OR($G135="",Summary!$B$2=""),"",IF($G135&gt;=Summary!$B$2,"★ Attention",""))</f>
        <v/>
      </c>
    </row>
    <row r="136">
      <c r="A136" s="5" t="n"/>
      <c r="B136" s="6" t="n"/>
      <c r="C136" s="5" t="n"/>
      <c r="D136" s="5" t="n"/>
      <c r="E136" s="7" t="n"/>
      <c r="F136" s="8" t="n"/>
      <c r="G136" s="8" t="n"/>
      <c r="H136" s="5" t="n"/>
      <c r="I136" s="6" t="n"/>
      <c r="J136" s="5" t="n"/>
      <c r="K136" s="6" t="n"/>
      <c r="L136" s="5" t="n"/>
      <c r="M136">
        <f>IF(OR($G136="",Summary!$B$2=""),"",IF($G136&gt;=Summary!$B$2,"★ Attention",""))</f>
        <v/>
      </c>
    </row>
    <row r="137">
      <c r="A137" s="5" t="n"/>
      <c r="B137" s="6" t="n"/>
      <c r="C137" s="5" t="n"/>
      <c r="D137" s="5" t="n"/>
      <c r="E137" s="7" t="n"/>
      <c r="F137" s="8" t="n"/>
      <c r="G137" s="8" t="n"/>
      <c r="H137" s="5" t="n"/>
      <c r="I137" s="6" t="n"/>
      <c r="J137" s="5" t="n"/>
      <c r="K137" s="6" t="n"/>
      <c r="L137" s="5" t="n"/>
      <c r="M137">
        <f>IF(OR($G137="",Summary!$B$2=""),"",IF($G137&gt;=Summary!$B$2,"★ Attention",""))</f>
        <v/>
      </c>
    </row>
    <row r="138">
      <c r="A138" s="5" t="n"/>
      <c r="B138" s="6" t="n"/>
      <c r="C138" s="5" t="n"/>
      <c r="D138" s="5" t="n"/>
      <c r="E138" s="7" t="n"/>
      <c r="F138" s="8" t="n"/>
      <c r="G138" s="8" t="n"/>
      <c r="H138" s="5" t="n"/>
      <c r="I138" s="6" t="n"/>
      <c r="J138" s="5" t="n"/>
      <c r="K138" s="6" t="n"/>
      <c r="L138" s="5" t="n"/>
      <c r="M138">
        <f>IF(OR($G138="",Summary!$B$2=""),"",IF($G138&gt;=Summary!$B$2,"★ Attention",""))</f>
        <v/>
      </c>
    </row>
    <row r="139">
      <c r="A139" s="5" t="n"/>
      <c r="B139" s="6" t="n"/>
      <c r="C139" s="5" t="n"/>
      <c r="D139" s="5" t="n"/>
      <c r="E139" s="7" t="n"/>
      <c r="F139" s="8" t="n"/>
      <c r="G139" s="8" t="n"/>
      <c r="H139" s="5" t="n"/>
      <c r="I139" s="6" t="n"/>
      <c r="J139" s="5" t="n"/>
      <c r="K139" s="6" t="n"/>
      <c r="L139" s="5" t="n"/>
      <c r="M139">
        <f>IF(OR($G139="",Summary!$B$2=""),"",IF($G139&gt;=Summary!$B$2,"★ Attention",""))</f>
        <v/>
      </c>
    </row>
    <row r="140">
      <c r="A140" s="5" t="n"/>
      <c r="B140" s="6" t="n"/>
      <c r="C140" s="5" t="n"/>
      <c r="D140" s="5" t="n"/>
      <c r="E140" s="7" t="n"/>
      <c r="F140" s="8" t="n"/>
      <c r="G140" s="8" t="n"/>
      <c r="H140" s="5" t="n"/>
      <c r="I140" s="6" t="n"/>
      <c r="J140" s="5" t="n"/>
      <c r="K140" s="6" t="n"/>
      <c r="L140" s="5" t="n"/>
      <c r="M140">
        <f>IF(OR($G140="",Summary!$B$2=""),"",IF($G140&gt;=Summary!$B$2,"★ Attention",""))</f>
        <v/>
      </c>
    </row>
    <row r="141">
      <c r="A141" s="5" t="n"/>
      <c r="B141" s="6" t="n"/>
      <c r="C141" s="5" t="n"/>
      <c r="D141" s="5" t="n"/>
      <c r="E141" s="7" t="n"/>
      <c r="F141" s="8" t="n"/>
      <c r="G141" s="8" t="n"/>
      <c r="H141" s="5" t="n"/>
      <c r="I141" s="6" t="n"/>
      <c r="J141" s="5" t="n"/>
      <c r="K141" s="6" t="n"/>
      <c r="L141" s="5" t="n"/>
      <c r="M141">
        <f>IF(OR($G141="",Summary!$B$2=""),"",IF($G141&gt;=Summary!$B$2,"★ Attention",""))</f>
        <v/>
      </c>
    </row>
    <row r="142">
      <c r="A142" s="5" t="n"/>
      <c r="B142" s="6" t="n"/>
      <c r="C142" s="5" t="n"/>
      <c r="D142" s="5" t="n"/>
      <c r="E142" s="7" t="n"/>
      <c r="F142" s="8" t="n"/>
      <c r="G142" s="8" t="n"/>
      <c r="H142" s="5" t="n"/>
      <c r="I142" s="6" t="n"/>
      <c r="J142" s="5" t="n"/>
      <c r="K142" s="6" t="n"/>
      <c r="L142" s="5" t="n"/>
      <c r="M142">
        <f>IF(OR($G142="",Summary!$B$2=""),"",IF($G142&gt;=Summary!$B$2,"★ Attention",""))</f>
        <v/>
      </c>
    </row>
    <row r="143">
      <c r="A143" s="5" t="n"/>
      <c r="B143" s="6" t="n"/>
      <c r="C143" s="5" t="n"/>
      <c r="D143" s="5" t="n"/>
      <c r="E143" s="7" t="n"/>
      <c r="F143" s="8" t="n"/>
      <c r="G143" s="8" t="n"/>
      <c r="H143" s="5" t="n"/>
      <c r="I143" s="6" t="n"/>
      <c r="J143" s="5" t="n"/>
      <c r="K143" s="6" t="n"/>
      <c r="L143" s="5" t="n"/>
      <c r="M143">
        <f>IF(OR($G143="",Summary!$B$2=""),"",IF($G143&gt;=Summary!$B$2,"★ Attention",""))</f>
        <v/>
      </c>
    </row>
    <row r="144">
      <c r="A144" s="5" t="n"/>
      <c r="B144" s="6" t="n"/>
      <c r="C144" s="5" t="n"/>
      <c r="D144" s="5" t="n"/>
      <c r="E144" s="7" t="n"/>
      <c r="F144" s="8" t="n"/>
      <c r="G144" s="8" t="n"/>
      <c r="H144" s="5" t="n"/>
      <c r="I144" s="6" t="n"/>
      <c r="J144" s="5" t="n"/>
      <c r="K144" s="6" t="n"/>
      <c r="L144" s="5" t="n"/>
      <c r="M144">
        <f>IF(OR($G144="",Summary!$B$2=""),"",IF($G144&gt;=Summary!$B$2,"★ Attention",""))</f>
        <v/>
      </c>
    </row>
    <row r="145">
      <c r="A145" s="5" t="n"/>
      <c r="B145" s="6" t="n"/>
      <c r="C145" s="5" t="n"/>
      <c r="D145" s="5" t="n"/>
      <c r="E145" s="7" t="n"/>
      <c r="F145" s="8" t="n"/>
      <c r="G145" s="8" t="n"/>
      <c r="H145" s="5" t="n"/>
      <c r="I145" s="6" t="n"/>
      <c r="J145" s="5" t="n"/>
      <c r="K145" s="6" t="n"/>
      <c r="L145" s="5" t="n"/>
      <c r="M145">
        <f>IF(OR($G145="",Summary!$B$2=""),"",IF($G145&gt;=Summary!$B$2,"★ Attention",""))</f>
        <v/>
      </c>
    </row>
    <row r="146">
      <c r="A146" s="5" t="n"/>
      <c r="B146" s="6" t="n"/>
      <c r="C146" s="5" t="n"/>
      <c r="D146" s="5" t="n"/>
      <c r="E146" s="7" t="n"/>
      <c r="F146" s="8" t="n"/>
      <c r="G146" s="8" t="n"/>
      <c r="H146" s="5" t="n"/>
      <c r="I146" s="6" t="n"/>
      <c r="J146" s="5" t="n"/>
      <c r="K146" s="6" t="n"/>
      <c r="L146" s="5" t="n"/>
      <c r="M146">
        <f>IF(OR($G146="",Summary!$B$2=""),"",IF($G146&gt;=Summary!$B$2,"★ Attention",""))</f>
        <v/>
      </c>
    </row>
    <row r="147">
      <c r="A147" s="5" t="n"/>
      <c r="B147" s="6" t="n"/>
      <c r="C147" s="5" t="n"/>
      <c r="D147" s="5" t="n"/>
      <c r="E147" s="7" t="n"/>
      <c r="F147" s="8" t="n"/>
      <c r="G147" s="8" t="n"/>
      <c r="H147" s="5" t="n"/>
      <c r="I147" s="6" t="n"/>
      <c r="J147" s="5" t="n"/>
      <c r="K147" s="6" t="n"/>
      <c r="L147" s="5" t="n"/>
      <c r="M147">
        <f>IF(OR($G147="",Summary!$B$2=""),"",IF($G147&gt;=Summary!$B$2,"★ Attention",""))</f>
        <v/>
      </c>
    </row>
    <row r="148">
      <c r="A148" s="5" t="n"/>
      <c r="B148" s="6" t="n"/>
      <c r="C148" s="5" t="n"/>
      <c r="D148" s="5" t="n"/>
      <c r="E148" s="7" t="n"/>
      <c r="F148" s="8" t="n"/>
      <c r="G148" s="8" t="n"/>
      <c r="H148" s="5" t="n"/>
      <c r="I148" s="6" t="n"/>
      <c r="J148" s="5" t="n"/>
      <c r="K148" s="6" t="n"/>
      <c r="L148" s="5" t="n"/>
      <c r="M148">
        <f>IF(OR($G148="",Summary!$B$2=""),"",IF($G148&gt;=Summary!$B$2,"★ Attention",""))</f>
        <v/>
      </c>
    </row>
    <row r="149">
      <c r="A149" s="5" t="n"/>
      <c r="B149" s="6" t="n"/>
      <c r="C149" s="5" t="n"/>
      <c r="D149" s="5" t="n"/>
      <c r="E149" s="7" t="n"/>
      <c r="F149" s="8" t="n"/>
      <c r="G149" s="8" t="n"/>
      <c r="H149" s="5" t="n"/>
      <c r="I149" s="6" t="n"/>
      <c r="J149" s="5" t="n"/>
      <c r="K149" s="6" t="n"/>
      <c r="L149" s="5" t="n"/>
      <c r="M149">
        <f>IF(OR($G149="",Summary!$B$2=""),"",IF($G149&gt;=Summary!$B$2,"★ Attention",""))</f>
        <v/>
      </c>
    </row>
    <row r="150">
      <c r="A150" s="5" t="n"/>
      <c r="B150" s="6" t="n"/>
      <c r="C150" s="5" t="n"/>
      <c r="D150" s="5" t="n"/>
      <c r="E150" s="7" t="n"/>
      <c r="F150" s="8" t="n"/>
      <c r="G150" s="8" t="n"/>
      <c r="H150" s="5" t="n"/>
      <c r="I150" s="6" t="n"/>
      <c r="J150" s="5" t="n"/>
      <c r="K150" s="6" t="n"/>
      <c r="L150" s="5" t="n"/>
      <c r="M150">
        <f>IF(OR($G150="",Summary!$B$2=""),"",IF($G150&gt;=Summary!$B$2,"★ Attention",""))</f>
        <v/>
      </c>
    </row>
    <row r="151">
      <c r="A151" s="5" t="n"/>
      <c r="B151" s="6" t="n"/>
      <c r="C151" s="5" t="n"/>
      <c r="D151" s="5" t="n"/>
      <c r="E151" s="7" t="n"/>
      <c r="F151" s="8" t="n"/>
      <c r="G151" s="8" t="n"/>
      <c r="H151" s="5" t="n"/>
      <c r="I151" s="6" t="n"/>
      <c r="J151" s="5" t="n"/>
      <c r="K151" s="6" t="n"/>
      <c r="L151" s="5" t="n"/>
      <c r="M151">
        <f>IF(OR($G151="",Summary!$B$2=""),"",IF($G151&gt;=Summary!$B$2,"★ Attention",""))</f>
        <v/>
      </c>
    </row>
    <row r="152">
      <c r="A152" s="5" t="n"/>
      <c r="B152" s="6" t="n"/>
      <c r="C152" s="5" t="n"/>
      <c r="D152" s="5" t="n"/>
      <c r="E152" s="7" t="n"/>
      <c r="F152" s="8" t="n"/>
      <c r="G152" s="8" t="n"/>
      <c r="H152" s="5" t="n"/>
      <c r="I152" s="6" t="n"/>
      <c r="J152" s="5" t="n"/>
      <c r="K152" s="6" t="n"/>
      <c r="L152" s="5" t="n"/>
      <c r="M152">
        <f>IF(OR($G152="",Summary!$B$2=""),"",IF($G152&gt;=Summary!$B$2,"★ Attention",""))</f>
        <v/>
      </c>
    </row>
    <row r="153">
      <c r="A153" s="5" t="n"/>
      <c r="B153" s="6" t="n"/>
      <c r="C153" s="5" t="n"/>
      <c r="D153" s="5" t="n"/>
      <c r="E153" s="7" t="n"/>
      <c r="F153" s="8" t="n"/>
      <c r="G153" s="8" t="n"/>
      <c r="H153" s="5" t="n"/>
      <c r="I153" s="6" t="n"/>
      <c r="J153" s="5" t="n"/>
      <c r="K153" s="6" t="n"/>
      <c r="L153" s="5" t="n"/>
      <c r="M153">
        <f>IF(OR($G153="",Summary!$B$2=""),"",IF($G153&gt;=Summary!$B$2,"★ Attention",""))</f>
        <v/>
      </c>
    </row>
    <row r="154">
      <c r="A154" s="5" t="n"/>
      <c r="B154" s="6" t="n"/>
      <c r="C154" s="5" t="n"/>
      <c r="D154" s="5" t="n"/>
      <c r="E154" s="7" t="n"/>
      <c r="F154" s="8" t="n"/>
      <c r="G154" s="8" t="n"/>
      <c r="H154" s="5" t="n"/>
      <c r="I154" s="6" t="n"/>
      <c r="J154" s="5" t="n"/>
      <c r="K154" s="6" t="n"/>
      <c r="L154" s="5" t="n"/>
      <c r="M154">
        <f>IF(OR($G154="",Summary!$B$2=""),"",IF($G154&gt;=Summary!$B$2,"★ Attention",""))</f>
        <v/>
      </c>
    </row>
    <row r="155">
      <c r="A155" s="5" t="n"/>
      <c r="B155" s="6" t="n"/>
      <c r="C155" s="5" t="n"/>
      <c r="D155" s="5" t="n"/>
      <c r="E155" s="7" t="n"/>
      <c r="F155" s="8" t="n"/>
      <c r="G155" s="8" t="n"/>
      <c r="H155" s="5" t="n"/>
      <c r="I155" s="6" t="n"/>
      <c r="J155" s="5" t="n"/>
      <c r="K155" s="6" t="n"/>
      <c r="L155" s="5" t="n"/>
      <c r="M155">
        <f>IF(OR($G155="",Summary!$B$2=""),"",IF($G155&gt;=Summary!$B$2,"★ Attention",""))</f>
        <v/>
      </c>
    </row>
    <row r="156">
      <c r="A156" s="5" t="n"/>
      <c r="B156" s="6" t="n"/>
      <c r="C156" s="5" t="n"/>
      <c r="D156" s="5" t="n"/>
      <c r="E156" s="7" t="n"/>
      <c r="F156" s="8" t="n"/>
      <c r="G156" s="8" t="n"/>
      <c r="H156" s="5" t="n"/>
      <c r="I156" s="6" t="n"/>
      <c r="J156" s="5" t="n"/>
      <c r="K156" s="6" t="n"/>
      <c r="L156" s="5" t="n"/>
      <c r="M156">
        <f>IF(OR($G156="",Summary!$B$2=""),"",IF($G156&gt;=Summary!$B$2,"★ Attention",""))</f>
        <v/>
      </c>
    </row>
    <row r="157">
      <c r="A157" s="5" t="n"/>
      <c r="B157" s="6" t="n"/>
      <c r="C157" s="5" t="n"/>
      <c r="D157" s="5" t="n"/>
      <c r="E157" s="7" t="n"/>
      <c r="F157" s="8" t="n"/>
      <c r="G157" s="8" t="n"/>
      <c r="H157" s="5" t="n"/>
      <c r="I157" s="6" t="n"/>
      <c r="J157" s="5" t="n"/>
      <c r="K157" s="6" t="n"/>
      <c r="L157" s="5" t="n"/>
      <c r="M157">
        <f>IF(OR($G157="",Summary!$B$2=""),"",IF($G157&gt;=Summary!$B$2,"★ Attention",""))</f>
        <v/>
      </c>
    </row>
    <row r="158">
      <c r="A158" s="5" t="n"/>
      <c r="B158" s="6" t="n"/>
      <c r="C158" s="5" t="n"/>
      <c r="D158" s="5" t="n"/>
      <c r="E158" s="7" t="n"/>
      <c r="F158" s="8" t="n"/>
      <c r="G158" s="8" t="n"/>
      <c r="H158" s="5" t="n"/>
      <c r="I158" s="6" t="n"/>
      <c r="J158" s="5" t="n"/>
      <c r="K158" s="6" t="n"/>
      <c r="L158" s="5" t="n"/>
      <c r="M158">
        <f>IF(OR($G158="",Summary!$B$2=""),"",IF($G158&gt;=Summary!$B$2,"★ Attention",""))</f>
        <v/>
      </c>
    </row>
    <row r="159">
      <c r="A159" s="5" t="n"/>
      <c r="B159" s="6" t="n"/>
      <c r="C159" s="5" t="n"/>
      <c r="D159" s="5" t="n"/>
      <c r="E159" s="7" t="n"/>
      <c r="F159" s="8" t="n"/>
      <c r="G159" s="8" t="n"/>
      <c r="H159" s="5" t="n"/>
      <c r="I159" s="6" t="n"/>
      <c r="J159" s="5" t="n"/>
      <c r="K159" s="6" t="n"/>
      <c r="L159" s="5" t="n"/>
      <c r="M159">
        <f>IF(OR($G159="",Summary!$B$2=""),"",IF($G159&gt;=Summary!$B$2,"★ Attention",""))</f>
        <v/>
      </c>
    </row>
    <row r="160">
      <c r="A160" s="5" t="n"/>
      <c r="B160" s="6" t="n"/>
      <c r="C160" s="5" t="n"/>
      <c r="D160" s="5" t="n"/>
      <c r="E160" s="7" t="n"/>
      <c r="F160" s="8" t="n"/>
      <c r="G160" s="8" t="n"/>
      <c r="H160" s="5" t="n"/>
      <c r="I160" s="6" t="n"/>
      <c r="J160" s="5" t="n"/>
      <c r="K160" s="6" t="n"/>
      <c r="L160" s="5" t="n"/>
      <c r="M160">
        <f>IF(OR($G160="",Summary!$B$2=""),"",IF($G160&gt;=Summary!$B$2,"★ Attention",""))</f>
        <v/>
      </c>
    </row>
    <row r="161">
      <c r="A161" s="5" t="n"/>
      <c r="B161" s="6" t="n"/>
      <c r="C161" s="5" t="n"/>
      <c r="D161" s="5" t="n"/>
      <c r="E161" s="7" t="n"/>
      <c r="F161" s="8" t="n"/>
      <c r="G161" s="8" t="n"/>
      <c r="H161" s="5" t="n"/>
      <c r="I161" s="6" t="n"/>
      <c r="J161" s="5" t="n"/>
      <c r="K161" s="6" t="n"/>
      <c r="L161" s="5" t="n"/>
      <c r="M161">
        <f>IF(OR($G161="",Summary!$B$2=""),"",IF($G161&gt;=Summary!$B$2,"★ Attention",""))</f>
        <v/>
      </c>
    </row>
    <row r="162">
      <c r="A162" s="5" t="n"/>
      <c r="B162" s="6" t="n"/>
      <c r="C162" s="5" t="n"/>
      <c r="D162" s="5" t="n"/>
      <c r="E162" s="7" t="n"/>
      <c r="F162" s="8" t="n"/>
      <c r="G162" s="8" t="n"/>
      <c r="H162" s="5" t="n"/>
      <c r="I162" s="6" t="n"/>
      <c r="J162" s="5" t="n"/>
      <c r="K162" s="6" t="n"/>
      <c r="L162" s="5" t="n"/>
      <c r="M162">
        <f>IF(OR($G162="",Summary!$B$2=""),"",IF($G162&gt;=Summary!$B$2,"★ Attention",""))</f>
        <v/>
      </c>
    </row>
    <row r="163">
      <c r="A163" s="5" t="n"/>
      <c r="B163" s="6" t="n"/>
      <c r="C163" s="5" t="n"/>
      <c r="D163" s="5" t="n"/>
      <c r="E163" s="7" t="n"/>
      <c r="F163" s="8" t="n"/>
      <c r="G163" s="8" t="n"/>
      <c r="H163" s="5" t="n"/>
      <c r="I163" s="6" t="n"/>
      <c r="J163" s="5" t="n"/>
      <c r="K163" s="6" t="n"/>
      <c r="L163" s="5" t="n"/>
      <c r="M163">
        <f>IF(OR($G163="",Summary!$B$2=""),"",IF($G163&gt;=Summary!$B$2,"★ Attention",""))</f>
        <v/>
      </c>
    </row>
    <row r="164">
      <c r="A164" s="5" t="n"/>
      <c r="B164" s="6" t="n"/>
      <c r="C164" s="5" t="n"/>
      <c r="D164" s="5" t="n"/>
      <c r="E164" s="7" t="n"/>
      <c r="F164" s="8" t="n"/>
      <c r="G164" s="8" t="n"/>
      <c r="H164" s="5" t="n"/>
      <c r="I164" s="6" t="n"/>
      <c r="J164" s="5" t="n"/>
      <c r="K164" s="6" t="n"/>
      <c r="L164" s="5" t="n"/>
      <c r="M164">
        <f>IF(OR($G164="",Summary!$B$2=""),"",IF($G164&gt;=Summary!$B$2,"★ Attention",""))</f>
        <v/>
      </c>
    </row>
    <row r="165">
      <c r="A165" s="5" t="n"/>
      <c r="B165" s="6" t="n"/>
      <c r="C165" s="5" t="n"/>
      <c r="D165" s="5" t="n"/>
      <c r="E165" s="7" t="n"/>
      <c r="F165" s="8" t="n"/>
      <c r="G165" s="8" t="n"/>
      <c r="H165" s="5" t="n"/>
      <c r="I165" s="6" t="n"/>
      <c r="J165" s="5" t="n"/>
      <c r="K165" s="6" t="n"/>
      <c r="L165" s="5" t="n"/>
      <c r="M165">
        <f>IF(OR($G165="",Summary!$B$2=""),"",IF($G165&gt;=Summary!$B$2,"★ Attention",""))</f>
        <v/>
      </c>
    </row>
    <row r="166">
      <c r="A166" s="5" t="n"/>
      <c r="B166" s="6" t="n"/>
      <c r="C166" s="5" t="n"/>
      <c r="D166" s="5" t="n"/>
      <c r="E166" s="7" t="n"/>
      <c r="F166" s="8" t="n"/>
      <c r="G166" s="8" t="n"/>
      <c r="H166" s="5" t="n"/>
      <c r="I166" s="6" t="n"/>
      <c r="J166" s="5" t="n"/>
      <c r="K166" s="6" t="n"/>
      <c r="L166" s="5" t="n"/>
      <c r="M166">
        <f>IF(OR($G166="",Summary!$B$2=""),"",IF($G166&gt;=Summary!$B$2,"★ Attention",""))</f>
        <v/>
      </c>
    </row>
    <row r="167">
      <c r="A167" s="5" t="n"/>
      <c r="B167" s="6" t="n"/>
      <c r="C167" s="5" t="n"/>
      <c r="D167" s="5" t="n"/>
      <c r="E167" s="7" t="n"/>
      <c r="F167" s="8" t="n"/>
      <c r="G167" s="8" t="n"/>
      <c r="H167" s="5" t="n"/>
      <c r="I167" s="6" t="n"/>
      <c r="J167" s="5" t="n"/>
      <c r="K167" s="6" t="n"/>
      <c r="L167" s="5" t="n"/>
      <c r="M167">
        <f>IF(OR($G167="",Summary!$B$2=""),"",IF($G167&gt;=Summary!$B$2,"★ Attention",""))</f>
        <v/>
      </c>
    </row>
    <row r="168">
      <c r="A168" s="5" t="n"/>
      <c r="B168" s="6" t="n"/>
      <c r="C168" s="5" t="n"/>
      <c r="D168" s="5" t="n"/>
      <c r="E168" s="7" t="n"/>
      <c r="F168" s="8" t="n"/>
      <c r="G168" s="8" t="n"/>
      <c r="H168" s="5" t="n"/>
      <c r="I168" s="6" t="n"/>
      <c r="J168" s="5" t="n"/>
      <c r="K168" s="6" t="n"/>
      <c r="L168" s="5" t="n"/>
      <c r="M168">
        <f>IF(OR($G168="",Summary!$B$2=""),"",IF($G168&gt;=Summary!$B$2,"★ Attention",""))</f>
        <v/>
      </c>
    </row>
    <row r="169">
      <c r="A169" s="5" t="n"/>
      <c r="B169" s="6" t="n"/>
      <c r="C169" s="5" t="n"/>
      <c r="D169" s="5" t="n"/>
      <c r="E169" s="7" t="n"/>
      <c r="F169" s="8" t="n"/>
      <c r="G169" s="8" t="n"/>
      <c r="H169" s="5" t="n"/>
      <c r="I169" s="6" t="n"/>
      <c r="J169" s="5" t="n"/>
      <c r="K169" s="6" t="n"/>
      <c r="L169" s="5" t="n"/>
      <c r="M169">
        <f>IF(OR($G169="",Summary!$B$2=""),"",IF($G169&gt;=Summary!$B$2,"★ Attention",""))</f>
        <v/>
      </c>
    </row>
    <row r="170">
      <c r="A170" s="5" t="n"/>
      <c r="B170" s="6" t="n"/>
      <c r="C170" s="5" t="n"/>
      <c r="D170" s="5" t="n"/>
      <c r="E170" s="7" t="n"/>
      <c r="F170" s="8" t="n"/>
      <c r="G170" s="8" t="n"/>
      <c r="H170" s="5" t="n"/>
      <c r="I170" s="6" t="n"/>
      <c r="J170" s="5" t="n"/>
      <c r="K170" s="6" t="n"/>
      <c r="L170" s="5" t="n"/>
      <c r="M170">
        <f>IF(OR($G170="",Summary!$B$2=""),"",IF($G170&gt;=Summary!$B$2,"★ Attention",""))</f>
        <v/>
      </c>
    </row>
    <row r="171">
      <c r="A171" s="5" t="n"/>
      <c r="B171" s="6" t="n"/>
      <c r="C171" s="5" t="n"/>
      <c r="D171" s="5" t="n"/>
      <c r="E171" s="7" t="n"/>
      <c r="F171" s="8" t="n"/>
      <c r="G171" s="8" t="n"/>
      <c r="H171" s="5" t="n"/>
      <c r="I171" s="6" t="n"/>
      <c r="J171" s="5" t="n"/>
      <c r="K171" s="6" t="n"/>
      <c r="L171" s="5" t="n"/>
      <c r="M171">
        <f>IF(OR($G171="",Summary!$B$2=""),"",IF($G171&gt;=Summary!$B$2,"★ Attention",""))</f>
        <v/>
      </c>
    </row>
    <row r="172">
      <c r="A172" s="5" t="n"/>
      <c r="B172" s="6" t="n"/>
      <c r="C172" s="5" t="n"/>
      <c r="D172" s="5" t="n"/>
      <c r="E172" s="7" t="n"/>
      <c r="F172" s="8" t="n"/>
      <c r="G172" s="8" t="n"/>
      <c r="H172" s="5" t="n"/>
      <c r="I172" s="6" t="n"/>
      <c r="J172" s="5" t="n"/>
      <c r="K172" s="6" t="n"/>
      <c r="L172" s="5" t="n"/>
      <c r="M172">
        <f>IF(OR($G172="",Summary!$B$2=""),"",IF($G172&gt;=Summary!$B$2,"★ Attention",""))</f>
        <v/>
      </c>
    </row>
    <row r="173">
      <c r="A173" s="5" t="n"/>
      <c r="B173" s="6" t="n"/>
      <c r="C173" s="5" t="n"/>
      <c r="D173" s="5" t="n"/>
      <c r="E173" s="7" t="n"/>
      <c r="F173" s="8" t="n"/>
      <c r="G173" s="8" t="n"/>
      <c r="H173" s="5" t="n"/>
      <c r="I173" s="6" t="n"/>
      <c r="J173" s="5" t="n"/>
      <c r="K173" s="6" t="n"/>
      <c r="L173" s="5" t="n"/>
      <c r="M173">
        <f>IF(OR($G173="",Summary!$B$2=""),"",IF($G173&gt;=Summary!$B$2,"★ Attention",""))</f>
        <v/>
      </c>
    </row>
    <row r="174">
      <c r="A174" s="5" t="n"/>
      <c r="B174" s="6" t="n"/>
      <c r="C174" s="5" t="n"/>
      <c r="D174" s="5" t="n"/>
      <c r="E174" s="7" t="n"/>
      <c r="F174" s="8" t="n"/>
      <c r="G174" s="8" t="n"/>
      <c r="H174" s="5" t="n"/>
      <c r="I174" s="6" t="n"/>
      <c r="J174" s="5" t="n"/>
      <c r="K174" s="6" t="n"/>
      <c r="L174" s="5" t="n"/>
      <c r="M174">
        <f>IF(OR($G174="",Summary!$B$2=""),"",IF($G174&gt;=Summary!$B$2,"★ Attention",""))</f>
        <v/>
      </c>
    </row>
    <row r="175">
      <c r="A175" s="5" t="n"/>
      <c r="B175" s="6" t="n"/>
      <c r="C175" s="5" t="n"/>
      <c r="D175" s="5" t="n"/>
      <c r="E175" s="7" t="n"/>
      <c r="F175" s="8" t="n"/>
      <c r="G175" s="8" t="n"/>
      <c r="H175" s="5" t="n"/>
      <c r="I175" s="6" t="n"/>
      <c r="J175" s="5" t="n"/>
      <c r="K175" s="6" t="n"/>
      <c r="L175" s="5" t="n"/>
      <c r="M175">
        <f>IF(OR($G175="",Summary!$B$2=""),"",IF($G175&gt;=Summary!$B$2,"★ Attention",""))</f>
        <v/>
      </c>
    </row>
    <row r="176">
      <c r="A176" s="5" t="n"/>
      <c r="B176" s="6" t="n"/>
      <c r="C176" s="5" t="n"/>
      <c r="D176" s="5" t="n"/>
      <c r="E176" s="7" t="n"/>
      <c r="F176" s="8" t="n"/>
      <c r="G176" s="8" t="n"/>
      <c r="H176" s="5" t="n"/>
      <c r="I176" s="6" t="n"/>
      <c r="J176" s="5" t="n"/>
      <c r="K176" s="6" t="n"/>
      <c r="L176" s="5" t="n"/>
      <c r="M176">
        <f>IF(OR($G176="",Summary!$B$2=""),"",IF($G176&gt;=Summary!$B$2,"★ Attention",""))</f>
        <v/>
      </c>
    </row>
    <row r="177">
      <c r="A177" s="5" t="n"/>
      <c r="B177" s="6" t="n"/>
      <c r="C177" s="5" t="n"/>
      <c r="D177" s="5" t="n"/>
      <c r="E177" s="7" t="n"/>
      <c r="F177" s="8" t="n"/>
      <c r="G177" s="8" t="n"/>
      <c r="H177" s="5" t="n"/>
      <c r="I177" s="6" t="n"/>
      <c r="J177" s="5" t="n"/>
      <c r="K177" s="6" t="n"/>
      <c r="L177" s="5" t="n"/>
      <c r="M177">
        <f>IF(OR($G177="",Summary!$B$2=""),"",IF($G177&gt;=Summary!$B$2,"★ Attention",""))</f>
        <v/>
      </c>
    </row>
    <row r="178">
      <c r="A178" s="5" t="n"/>
      <c r="B178" s="6" t="n"/>
      <c r="C178" s="5" t="n"/>
      <c r="D178" s="5" t="n"/>
      <c r="E178" s="7" t="n"/>
      <c r="F178" s="8" t="n"/>
      <c r="G178" s="8" t="n"/>
      <c r="H178" s="5" t="n"/>
      <c r="I178" s="6" t="n"/>
      <c r="J178" s="5" t="n"/>
      <c r="K178" s="6" t="n"/>
      <c r="L178" s="5" t="n"/>
      <c r="M178">
        <f>IF(OR($G178="",Summary!$B$2=""),"",IF($G178&gt;=Summary!$B$2,"★ Attention",""))</f>
        <v/>
      </c>
    </row>
    <row r="179">
      <c r="A179" s="5" t="n"/>
      <c r="B179" s="6" t="n"/>
      <c r="C179" s="5" t="n"/>
      <c r="D179" s="5" t="n"/>
      <c r="E179" s="7" t="n"/>
      <c r="F179" s="8" t="n"/>
      <c r="G179" s="8" t="n"/>
      <c r="H179" s="5" t="n"/>
      <c r="I179" s="6" t="n"/>
      <c r="J179" s="5" t="n"/>
      <c r="K179" s="6" t="n"/>
      <c r="L179" s="5" t="n"/>
      <c r="M179">
        <f>IF(OR($G179="",Summary!$B$2=""),"",IF($G179&gt;=Summary!$B$2,"★ Attention",""))</f>
        <v/>
      </c>
    </row>
    <row r="180">
      <c r="A180" s="5" t="n"/>
      <c r="B180" s="6" t="n"/>
      <c r="C180" s="5" t="n"/>
      <c r="D180" s="5" t="n"/>
      <c r="E180" s="7" t="n"/>
      <c r="F180" s="8" t="n"/>
      <c r="G180" s="8" t="n"/>
      <c r="H180" s="5" t="n"/>
      <c r="I180" s="6" t="n"/>
      <c r="J180" s="5" t="n"/>
      <c r="K180" s="6" t="n"/>
      <c r="L180" s="5" t="n"/>
      <c r="M180">
        <f>IF(OR($G180="",Summary!$B$2=""),"",IF($G180&gt;=Summary!$B$2,"★ Attention",""))</f>
        <v/>
      </c>
    </row>
    <row r="181">
      <c r="A181" s="5" t="n"/>
      <c r="B181" s="6" t="n"/>
      <c r="C181" s="5" t="n"/>
      <c r="D181" s="5" t="n"/>
      <c r="E181" s="7" t="n"/>
      <c r="F181" s="8" t="n"/>
      <c r="G181" s="8" t="n"/>
      <c r="H181" s="5" t="n"/>
      <c r="I181" s="6" t="n"/>
      <c r="J181" s="5" t="n"/>
      <c r="K181" s="6" t="n"/>
      <c r="L181" s="5" t="n"/>
      <c r="M181">
        <f>IF(OR($G181="",Summary!$B$2=""),"",IF($G181&gt;=Summary!$B$2,"★ Attention",""))</f>
        <v/>
      </c>
    </row>
    <row r="182">
      <c r="A182" s="5" t="n"/>
      <c r="B182" s="6" t="n"/>
      <c r="C182" s="5" t="n"/>
      <c r="D182" s="5" t="n"/>
      <c r="E182" s="7" t="n"/>
      <c r="F182" s="8" t="n"/>
      <c r="G182" s="8" t="n"/>
      <c r="H182" s="5" t="n"/>
      <c r="I182" s="6" t="n"/>
      <c r="J182" s="5" t="n"/>
      <c r="K182" s="6" t="n"/>
      <c r="L182" s="5" t="n"/>
      <c r="M182">
        <f>IF(OR($G182="",Summary!$B$2=""),"",IF($G182&gt;=Summary!$B$2,"★ Attention",""))</f>
        <v/>
      </c>
    </row>
    <row r="183">
      <c r="A183" s="5" t="n"/>
      <c r="B183" s="6" t="n"/>
      <c r="C183" s="5" t="n"/>
      <c r="D183" s="5" t="n"/>
      <c r="E183" s="7" t="n"/>
      <c r="F183" s="8" t="n"/>
      <c r="G183" s="8" t="n"/>
      <c r="H183" s="5" t="n"/>
      <c r="I183" s="6" t="n"/>
      <c r="J183" s="5" t="n"/>
      <c r="K183" s="6" t="n"/>
      <c r="L183" s="5" t="n"/>
      <c r="M183">
        <f>IF(OR($G183="",Summary!$B$2=""),"",IF($G183&gt;=Summary!$B$2,"★ Attention",""))</f>
        <v/>
      </c>
    </row>
    <row r="184">
      <c r="A184" s="5" t="n"/>
      <c r="B184" s="6" t="n"/>
      <c r="C184" s="5" t="n"/>
      <c r="D184" s="5" t="n"/>
      <c r="E184" s="7" t="n"/>
      <c r="F184" s="8" t="n"/>
      <c r="G184" s="8" t="n"/>
      <c r="H184" s="5" t="n"/>
      <c r="I184" s="6" t="n"/>
      <c r="J184" s="5" t="n"/>
      <c r="K184" s="6" t="n"/>
      <c r="L184" s="5" t="n"/>
      <c r="M184">
        <f>IF(OR($G184="",Summary!$B$2=""),"",IF($G184&gt;=Summary!$B$2,"★ Attention",""))</f>
        <v/>
      </c>
    </row>
    <row r="185">
      <c r="A185" s="5" t="n"/>
      <c r="B185" s="6" t="n"/>
      <c r="C185" s="5" t="n"/>
      <c r="D185" s="5" t="n"/>
      <c r="E185" s="7" t="n"/>
      <c r="F185" s="8" t="n"/>
      <c r="G185" s="8" t="n"/>
      <c r="H185" s="5" t="n"/>
      <c r="I185" s="6" t="n"/>
      <c r="J185" s="5" t="n"/>
      <c r="K185" s="6" t="n"/>
      <c r="L185" s="5" t="n"/>
      <c r="M185">
        <f>IF(OR($G185="",Summary!$B$2=""),"",IF($G185&gt;=Summary!$B$2,"★ Attention",""))</f>
        <v/>
      </c>
    </row>
    <row r="186">
      <c r="A186" s="5" t="n"/>
      <c r="B186" s="6" t="n"/>
      <c r="C186" s="5" t="n"/>
      <c r="D186" s="5" t="n"/>
      <c r="E186" s="7" t="n"/>
      <c r="F186" s="8" t="n"/>
      <c r="G186" s="8" t="n"/>
      <c r="H186" s="5" t="n"/>
      <c r="I186" s="6" t="n"/>
      <c r="J186" s="5" t="n"/>
      <c r="K186" s="6" t="n"/>
      <c r="L186" s="5" t="n"/>
      <c r="M186">
        <f>IF(OR($G186="",Summary!$B$2=""),"",IF($G186&gt;=Summary!$B$2,"★ Attention",""))</f>
        <v/>
      </c>
    </row>
    <row r="187">
      <c r="A187" s="5" t="n"/>
      <c r="B187" s="6" t="n"/>
      <c r="C187" s="5" t="n"/>
      <c r="D187" s="5" t="n"/>
      <c r="E187" s="7" t="n"/>
      <c r="F187" s="8" t="n"/>
      <c r="G187" s="8" t="n"/>
      <c r="H187" s="5" t="n"/>
      <c r="I187" s="6" t="n"/>
      <c r="J187" s="5" t="n"/>
      <c r="K187" s="6" t="n"/>
      <c r="L187" s="5" t="n"/>
      <c r="M187">
        <f>IF(OR($G187="",Summary!$B$2=""),"",IF($G187&gt;=Summary!$B$2,"★ Attention",""))</f>
        <v/>
      </c>
    </row>
    <row r="188">
      <c r="A188" s="5" t="n"/>
      <c r="B188" s="6" t="n"/>
      <c r="C188" s="5" t="n"/>
      <c r="D188" s="5" t="n"/>
      <c r="E188" s="7" t="n"/>
      <c r="F188" s="8" t="n"/>
      <c r="G188" s="8" t="n"/>
      <c r="H188" s="5" t="n"/>
      <c r="I188" s="6" t="n"/>
      <c r="J188" s="5" t="n"/>
      <c r="K188" s="6" t="n"/>
      <c r="L188" s="5" t="n"/>
      <c r="M188">
        <f>IF(OR($G188="",Summary!$B$2=""),"",IF($G188&gt;=Summary!$B$2,"★ Attention",""))</f>
        <v/>
      </c>
    </row>
    <row r="189">
      <c r="A189" s="5" t="n"/>
      <c r="B189" s="6" t="n"/>
      <c r="C189" s="5" t="n"/>
      <c r="D189" s="5" t="n"/>
      <c r="E189" s="7" t="n"/>
      <c r="F189" s="8" t="n"/>
      <c r="G189" s="8" t="n"/>
      <c r="H189" s="5" t="n"/>
      <c r="I189" s="6" t="n"/>
      <c r="J189" s="5" t="n"/>
      <c r="K189" s="6" t="n"/>
      <c r="L189" s="5" t="n"/>
      <c r="M189">
        <f>IF(OR($G189="",Summary!$B$2=""),"",IF($G189&gt;=Summary!$B$2,"★ Attention",""))</f>
        <v/>
      </c>
    </row>
    <row r="190">
      <c r="A190" s="5" t="n"/>
      <c r="B190" s="6" t="n"/>
      <c r="C190" s="5" t="n"/>
      <c r="D190" s="5" t="n"/>
      <c r="E190" s="7" t="n"/>
      <c r="F190" s="8" t="n"/>
      <c r="G190" s="8" t="n"/>
      <c r="H190" s="5" t="n"/>
      <c r="I190" s="6" t="n"/>
      <c r="J190" s="5" t="n"/>
      <c r="K190" s="6" t="n"/>
      <c r="L190" s="5" t="n"/>
      <c r="M190">
        <f>IF(OR($G190="",Summary!$B$2=""),"",IF($G190&gt;=Summary!$B$2,"★ Attention",""))</f>
        <v/>
      </c>
    </row>
    <row r="191">
      <c r="A191" s="5" t="n"/>
      <c r="B191" s="6" t="n"/>
      <c r="C191" s="5" t="n"/>
      <c r="D191" s="5" t="n"/>
      <c r="E191" s="7" t="n"/>
      <c r="F191" s="8" t="n"/>
      <c r="G191" s="8" t="n"/>
      <c r="H191" s="5" t="n"/>
      <c r="I191" s="6" t="n"/>
      <c r="J191" s="5" t="n"/>
      <c r="K191" s="6" t="n"/>
      <c r="L191" s="5" t="n"/>
      <c r="M191">
        <f>IF(OR($G191="",Summary!$B$2=""),"",IF($G191&gt;=Summary!$B$2,"★ Attention",""))</f>
        <v/>
      </c>
    </row>
    <row r="192">
      <c r="A192" s="5" t="n"/>
      <c r="B192" s="6" t="n"/>
      <c r="C192" s="5" t="n"/>
      <c r="D192" s="5" t="n"/>
      <c r="E192" s="7" t="n"/>
      <c r="F192" s="8" t="n"/>
      <c r="G192" s="8" t="n"/>
      <c r="H192" s="5" t="n"/>
      <c r="I192" s="6" t="n"/>
      <c r="J192" s="5" t="n"/>
      <c r="K192" s="6" t="n"/>
      <c r="L192" s="5" t="n"/>
      <c r="M192">
        <f>IF(OR($G192="",Summary!$B$2=""),"",IF($G192&gt;=Summary!$B$2,"★ Attention",""))</f>
        <v/>
      </c>
    </row>
    <row r="193">
      <c r="A193" s="5" t="n"/>
      <c r="B193" s="6" t="n"/>
      <c r="C193" s="5" t="n"/>
      <c r="D193" s="5" t="n"/>
      <c r="E193" s="7" t="n"/>
      <c r="F193" s="8" t="n"/>
      <c r="G193" s="8" t="n"/>
      <c r="H193" s="5" t="n"/>
      <c r="I193" s="6" t="n"/>
      <c r="J193" s="5" t="n"/>
      <c r="K193" s="6" t="n"/>
      <c r="L193" s="5" t="n"/>
      <c r="M193">
        <f>IF(OR($G193="",Summary!$B$2=""),"",IF($G193&gt;=Summary!$B$2,"★ Attention",""))</f>
        <v/>
      </c>
    </row>
    <row r="194">
      <c r="A194" s="5" t="n"/>
      <c r="B194" s="6" t="n"/>
      <c r="C194" s="5" t="n"/>
      <c r="D194" s="5" t="n"/>
      <c r="E194" s="7" t="n"/>
      <c r="F194" s="8" t="n"/>
      <c r="G194" s="8" t="n"/>
      <c r="H194" s="5" t="n"/>
      <c r="I194" s="6" t="n"/>
      <c r="J194" s="5" t="n"/>
      <c r="K194" s="6" t="n"/>
      <c r="L194" s="5" t="n"/>
      <c r="M194">
        <f>IF(OR($G194="",Summary!$B$2=""),"",IF($G194&gt;=Summary!$B$2,"★ Attention",""))</f>
        <v/>
      </c>
    </row>
    <row r="195">
      <c r="A195" s="5" t="n"/>
      <c r="B195" s="6" t="n"/>
      <c r="C195" s="5" t="n"/>
      <c r="D195" s="5" t="n"/>
      <c r="E195" s="7" t="n"/>
      <c r="F195" s="8" t="n"/>
      <c r="G195" s="8" t="n"/>
      <c r="H195" s="5" t="n"/>
      <c r="I195" s="6" t="n"/>
      <c r="J195" s="5" t="n"/>
      <c r="K195" s="6" t="n"/>
      <c r="L195" s="5" t="n"/>
      <c r="M195">
        <f>IF(OR($G195="",Summary!$B$2=""),"",IF($G195&gt;=Summary!$B$2,"★ Attention",""))</f>
        <v/>
      </c>
    </row>
    <row r="196">
      <c r="A196" s="5" t="n"/>
      <c r="B196" s="6" t="n"/>
      <c r="C196" s="5" t="n"/>
      <c r="D196" s="5" t="n"/>
      <c r="E196" s="7" t="n"/>
      <c r="F196" s="8" t="n"/>
      <c r="G196" s="8" t="n"/>
      <c r="H196" s="5" t="n"/>
      <c r="I196" s="6" t="n"/>
      <c r="J196" s="5" t="n"/>
      <c r="K196" s="6" t="n"/>
      <c r="L196" s="5" t="n"/>
      <c r="M196">
        <f>IF(OR($G196="",Summary!$B$2=""),"",IF($G196&gt;=Summary!$B$2,"★ Attention",""))</f>
        <v/>
      </c>
    </row>
    <row r="197">
      <c r="A197" s="5" t="n"/>
      <c r="B197" s="6" t="n"/>
      <c r="C197" s="5" t="n"/>
      <c r="D197" s="5" t="n"/>
      <c r="E197" s="7" t="n"/>
      <c r="F197" s="8" t="n"/>
      <c r="G197" s="8" t="n"/>
      <c r="H197" s="5" t="n"/>
      <c r="I197" s="6" t="n"/>
      <c r="J197" s="5" t="n"/>
      <c r="K197" s="6" t="n"/>
      <c r="L197" s="5" t="n"/>
      <c r="M197">
        <f>IF(OR($G197="",Summary!$B$2=""),"",IF($G197&gt;=Summary!$B$2,"★ Attention",""))</f>
        <v/>
      </c>
    </row>
    <row r="198">
      <c r="A198" s="5" t="n"/>
      <c r="B198" s="6" t="n"/>
      <c r="C198" s="5" t="n"/>
      <c r="D198" s="5" t="n"/>
      <c r="E198" s="7" t="n"/>
      <c r="F198" s="8" t="n"/>
      <c r="G198" s="8" t="n"/>
      <c r="H198" s="5" t="n"/>
      <c r="I198" s="6" t="n"/>
      <c r="J198" s="5" t="n"/>
      <c r="K198" s="6" t="n"/>
      <c r="L198" s="5" t="n"/>
      <c r="M198">
        <f>IF(OR($G198="",Summary!$B$2=""),"",IF($G198&gt;=Summary!$B$2,"★ Attention",""))</f>
        <v/>
      </c>
    </row>
    <row r="199">
      <c r="A199" s="5" t="n"/>
      <c r="B199" s="6" t="n"/>
      <c r="C199" s="5" t="n"/>
      <c r="D199" s="5" t="n"/>
      <c r="E199" s="7" t="n"/>
      <c r="F199" s="8" t="n"/>
      <c r="G199" s="8" t="n"/>
      <c r="H199" s="5" t="n"/>
      <c r="I199" s="6" t="n"/>
      <c r="J199" s="5" t="n"/>
      <c r="K199" s="6" t="n"/>
      <c r="L199" s="5" t="n"/>
      <c r="M199">
        <f>IF(OR($G199="",Summary!$B$2=""),"",IF($G199&gt;=Summary!$B$2,"★ Attention",""))</f>
        <v/>
      </c>
    </row>
    <row r="200">
      <c r="A200" s="5" t="n"/>
      <c r="B200" s="6" t="n"/>
      <c r="C200" s="5" t="n"/>
      <c r="D200" s="5" t="n"/>
      <c r="E200" s="7" t="n"/>
      <c r="F200" s="8" t="n"/>
      <c r="G200" s="8" t="n"/>
      <c r="H200" s="5" t="n"/>
      <c r="I200" s="6" t="n"/>
      <c r="J200" s="5" t="n"/>
      <c r="K200" s="6" t="n"/>
      <c r="L200" s="5" t="n"/>
      <c r="M200">
        <f>IF(OR($G200="",Summary!$B$2=""),"",IF($G200&gt;=Summary!$B$2,"★ Attention",""))</f>
        <v/>
      </c>
    </row>
    <row r="201">
      <c r="A201" s="5" t="n"/>
      <c r="B201" s="6" t="n"/>
      <c r="C201" s="5" t="n"/>
      <c r="D201" s="5" t="n"/>
      <c r="E201" s="7" t="n"/>
      <c r="F201" s="8" t="n"/>
      <c r="G201" s="8" t="n"/>
      <c r="H201" s="5" t="n"/>
      <c r="I201" s="6" t="n"/>
      <c r="J201" s="5" t="n"/>
      <c r="K201" s="6" t="n"/>
      <c r="L201" s="5" t="n"/>
      <c r="M201">
        <f>IF(OR($G201="",Summary!$B$2=""),"",IF($G201&gt;=Summary!$B$2,"★ Attention",""))</f>
        <v/>
      </c>
    </row>
  </sheetData>
  <autoFilter ref="A1:M201"/>
  <dataValidations count="2">
    <dataValidation sqref="A2:A201" showDropDown="0" showInputMessage="0" showErrorMessage="0" allowBlank="0" promptTitle="Room" prompt="Pick a room" type="list">
      <formula1>Lists!$A$2:$A$13</formula1>
    </dataValidation>
    <dataValidation sqref="D2:D201" showDropDown="0" showInputMessage="0" showErrorMessage="0" allowBlank="0" promptTitle="Category" prompt="Pick a category" type="list">
      <formula1>Lists!$C$2:$C$11</formula1>
    </dataValidation>
  </dataValidation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2" customWidth="1" min="4" max="4"/>
  </cols>
  <sheetData>
    <row r="1">
      <c r="A1" s="9" t="inlineStr">
        <is>
          <t>Summary — totals by room</t>
        </is>
      </c>
    </row>
    <row r="2">
      <c r="A2" t="inlineStr">
        <is>
          <t>Attention line (you set it):</t>
        </is>
      </c>
      <c r="B2" t="n">
        <v>500</v>
      </c>
      <c r="C2" s="2" t="inlineStr">
        <is>
          <t>Leave blank and nothing is flagged. Type a number, for example 500: items at or above that value are flagged ★ on the Inventory tab and listed below. This line is yours; it is not an insurer limit and promises nothing about insurance.</t>
        </is>
      </c>
    </row>
    <row r="4">
      <c r="A4" s="4" t="inlineStr">
        <is>
          <t>Room</t>
        </is>
      </c>
      <c r="B4" s="4" t="inlineStr">
        <is>
          <t>Items</t>
        </is>
      </c>
      <c r="C4" s="4" t="inlineStr">
        <is>
          <t>Total estimated value</t>
        </is>
      </c>
      <c r="D4" s="4" t="inlineStr">
        <is>
          <t>Total purchase price</t>
        </is>
      </c>
    </row>
    <row r="5">
      <c r="A5" t="inlineStr">
        <is>
          <t>Living Room</t>
        </is>
      </c>
      <c r="B5">
        <f>COUNTIF(Inventory!$A$2:$A$201,$A5)</f>
        <v/>
      </c>
      <c r="C5" s="10">
        <f>SUMIFS(Inventory!$G$2:$G$201,Inventory!$A$2:$A$201,$A5)</f>
        <v/>
      </c>
      <c r="D5" s="10">
        <f>SUMIFS(Inventory!$F$2:$F$201,Inventory!$A$2:$A$201,$A5)</f>
        <v/>
      </c>
    </row>
    <row r="6">
      <c r="A6" t="inlineStr">
        <is>
          <t>Kitchen</t>
        </is>
      </c>
      <c r="B6">
        <f>COUNTIF(Inventory!$A$2:$A$201,$A6)</f>
        <v/>
      </c>
      <c r="C6" s="10">
        <f>SUMIFS(Inventory!$G$2:$G$201,Inventory!$A$2:$A$201,$A6)</f>
        <v/>
      </c>
      <c r="D6" s="10">
        <f>SUMIFS(Inventory!$F$2:$F$201,Inventory!$A$2:$A$201,$A6)</f>
        <v/>
      </c>
    </row>
    <row r="7">
      <c r="A7" t="inlineStr">
        <is>
          <t>Bedroom (Primary)</t>
        </is>
      </c>
      <c r="B7">
        <f>COUNTIF(Inventory!$A$2:$A$201,$A7)</f>
        <v/>
      </c>
      <c r="C7" s="10">
        <f>SUMIFS(Inventory!$G$2:$G$201,Inventory!$A$2:$A$201,$A7)</f>
        <v/>
      </c>
      <c r="D7" s="10">
        <f>SUMIFS(Inventory!$F$2:$F$201,Inventory!$A$2:$A$201,$A7)</f>
        <v/>
      </c>
    </row>
    <row r="8">
      <c r="A8" t="inlineStr">
        <is>
          <t>Bedroom (Guest/Other)</t>
        </is>
      </c>
      <c r="B8">
        <f>COUNTIF(Inventory!$A$2:$A$201,$A8)</f>
        <v/>
      </c>
      <c r="C8" s="10">
        <f>SUMIFS(Inventory!$G$2:$G$201,Inventory!$A$2:$A$201,$A8)</f>
        <v/>
      </c>
      <c r="D8" s="10">
        <f>SUMIFS(Inventory!$F$2:$F$201,Inventory!$A$2:$A$201,$A8)</f>
        <v/>
      </c>
    </row>
    <row r="9">
      <c r="A9" t="inlineStr">
        <is>
          <t>Bathroom</t>
        </is>
      </c>
      <c r="B9">
        <f>COUNTIF(Inventory!$A$2:$A$201,$A9)</f>
        <v/>
      </c>
      <c r="C9" s="10">
        <f>SUMIFS(Inventory!$G$2:$G$201,Inventory!$A$2:$A$201,$A9)</f>
        <v/>
      </c>
      <c r="D9" s="10">
        <f>SUMIFS(Inventory!$F$2:$F$201,Inventory!$A$2:$A$201,$A9)</f>
        <v/>
      </c>
    </row>
    <row r="10">
      <c r="A10" t="inlineStr">
        <is>
          <t>Home Office / Study</t>
        </is>
      </c>
      <c r="B10">
        <f>COUNTIF(Inventory!$A$2:$A$201,$A10)</f>
        <v/>
      </c>
      <c r="C10" s="10">
        <f>SUMIFS(Inventory!$G$2:$G$201,Inventory!$A$2:$A$201,$A10)</f>
        <v/>
      </c>
      <c r="D10" s="10">
        <f>SUMIFS(Inventory!$F$2:$F$201,Inventory!$A$2:$A$201,$A10)</f>
        <v/>
      </c>
    </row>
    <row r="11">
      <c r="A11" t="inlineStr">
        <is>
          <t>Garage</t>
        </is>
      </c>
      <c r="B11">
        <f>COUNTIF(Inventory!$A$2:$A$201,$A11)</f>
        <v/>
      </c>
      <c r="C11" s="10">
        <f>SUMIFS(Inventory!$G$2:$G$201,Inventory!$A$2:$A$201,$A11)</f>
        <v/>
      </c>
      <c r="D11" s="10">
        <f>SUMIFS(Inventory!$F$2:$F$201,Inventory!$A$2:$A$201,$A11)</f>
        <v/>
      </c>
    </row>
    <row r="12">
      <c r="A12" t="inlineStr">
        <is>
          <t>Basement / Storage</t>
        </is>
      </c>
      <c r="B12">
        <f>COUNTIF(Inventory!$A$2:$A$201,$A12)</f>
        <v/>
      </c>
      <c r="C12" s="10">
        <f>SUMIFS(Inventory!$G$2:$G$201,Inventory!$A$2:$A$201,$A12)</f>
        <v/>
      </c>
      <c r="D12" s="10">
        <f>SUMIFS(Inventory!$F$2:$F$201,Inventory!$A$2:$A$201,$A12)</f>
        <v/>
      </c>
    </row>
    <row r="13">
      <c r="A13" t="inlineStr">
        <is>
          <t>Dining Room</t>
        </is>
      </c>
      <c r="B13">
        <f>COUNTIF(Inventory!$A$2:$A$201,$A13)</f>
        <v/>
      </c>
      <c r="C13" s="10">
        <f>SUMIFS(Inventory!$G$2:$G$201,Inventory!$A$2:$A$201,$A13)</f>
        <v/>
      </c>
      <c r="D13" s="10">
        <f>SUMIFS(Inventory!$F$2:$F$201,Inventory!$A$2:$A$201,$A13)</f>
        <v/>
      </c>
    </row>
    <row r="14">
      <c r="A14" t="inlineStr">
        <is>
          <t>Laundry Room</t>
        </is>
      </c>
      <c r="B14">
        <f>COUNTIF(Inventory!$A$2:$A$201,$A14)</f>
        <v/>
      </c>
      <c r="C14" s="10">
        <f>SUMIFS(Inventory!$G$2:$G$201,Inventory!$A$2:$A$201,$A14)</f>
        <v/>
      </c>
      <c r="D14" s="10">
        <f>SUMIFS(Inventory!$F$2:$F$201,Inventory!$A$2:$A$201,$A14)</f>
        <v/>
      </c>
    </row>
    <row r="15">
      <c r="A15" t="inlineStr">
        <is>
          <t>Hallway / Entry</t>
        </is>
      </c>
      <c r="B15">
        <f>COUNTIF(Inventory!$A$2:$A$201,$A15)</f>
        <v/>
      </c>
      <c r="C15" s="10">
        <f>SUMIFS(Inventory!$G$2:$G$201,Inventory!$A$2:$A$201,$A15)</f>
        <v/>
      </c>
      <c r="D15" s="10">
        <f>SUMIFS(Inventory!$F$2:$F$201,Inventory!$A$2:$A$201,$A15)</f>
        <v/>
      </c>
    </row>
    <row r="16">
      <c r="A16" t="inlineStr">
        <is>
          <t>Other</t>
        </is>
      </c>
      <c r="B16">
        <f>COUNTIF(Inventory!$A$2:$A$201,$A16)</f>
        <v/>
      </c>
      <c r="C16" s="10">
        <f>SUMIFS(Inventory!$G$2:$G$201,Inventory!$A$2:$A$201,$A16)</f>
        <v/>
      </c>
      <c r="D16" s="10">
        <f>SUMIFS(Inventory!$F$2:$F$201,Inventory!$A$2:$A$201,$A16)</f>
        <v/>
      </c>
    </row>
    <row r="17">
      <c r="A17" s="4" t="inlineStr">
        <is>
          <t>TOTAL</t>
        </is>
      </c>
      <c r="B17" s="4">
        <f>SUM(B5:B16)</f>
        <v/>
      </c>
      <c r="C17" s="11">
        <f>SUM(C5:C16)</f>
        <v/>
      </c>
      <c r="D17" s="11">
        <f>SUM(D5:D16)</f>
        <v/>
      </c>
    </row>
    <row r="19">
      <c r="A19" s="4" t="inlineStr">
        <is>
          <t>High-value items (at or above your attention line) — live Google Sheet formula (FILTER); verify in Sheets.</t>
        </is>
      </c>
    </row>
    <row r="20">
      <c r="A20">
        <f>IF($B$2="","",FILTER(Inventory!A2:G201,(Inventory!G2:G201&lt;&gt;"")*(Inventory!G2:G201&gt;=$B$2)))</f>
        <v/>
      </c>
    </row>
  </sheetData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</cols>
  <sheetData>
    <row r="1">
      <c r="A1" s="9" t="inlineStr">
        <is>
          <t>Handover Summary — Home Inventory</t>
        </is>
      </c>
    </row>
    <row r="2">
      <c r="A2" t="inlineStr">
        <is>
          <t>Prepared on:</t>
        </is>
      </c>
      <c r="B2" s="12">
        <f>TODAY()</f>
        <v/>
      </c>
    </row>
    <row r="3">
      <c r="A3" s="2" t="inlineStr">
        <is>
          <t>This page is generated from your Inventory tab. Print it or download it as PDF or Excel (File &gt; Download) to hand over.</t>
        </is>
      </c>
    </row>
    <row r="4">
      <c r="A4" s="2" t="inlineStr">
        <is>
          <t>This product is a personal property record organizer. It is not insurance advice; it does not promise that any insurer will accept or pay a claim; estimated values are your own figures and have no professional appraisal effect. Whether something is covered, and for how much, is between you and your insurer.</t>
        </is>
      </c>
    </row>
    <row r="5">
      <c r="A5" s="2" t="inlineStr">
        <is>
          <t>Keep the file in your own Google Drive and export a backup yourself — it does not depend on a seller subscription service. No seller account is needed; using a Google Sheets online copy usually needs a Google account.</t>
        </is>
      </c>
    </row>
    <row r="7">
      <c r="A7" s="4" t="inlineStr">
        <is>
          <t>Room</t>
        </is>
      </c>
      <c r="B7" s="4" t="inlineStr">
        <is>
          <t>Items</t>
        </is>
      </c>
      <c r="C7" s="4" t="inlineStr">
        <is>
          <t>Total value</t>
        </is>
      </c>
    </row>
    <row r="8">
      <c r="A8" t="inlineStr">
        <is>
          <t>Living Room</t>
        </is>
      </c>
      <c r="B8">
        <f>Summary!B5</f>
        <v/>
      </c>
      <c r="C8" s="10">
        <f>Summary!C5</f>
        <v/>
      </c>
    </row>
    <row r="9">
      <c r="A9" t="inlineStr">
        <is>
          <t>Kitchen</t>
        </is>
      </c>
      <c r="B9">
        <f>Summary!B6</f>
        <v/>
      </c>
      <c r="C9" s="10">
        <f>Summary!C6</f>
        <v/>
      </c>
    </row>
    <row r="10">
      <c r="A10" t="inlineStr">
        <is>
          <t>Bedroom (Primary)</t>
        </is>
      </c>
      <c r="B10">
        <f>Summary!B7</f>
        <v/>
      </c>
      <c r="C10" s="10">
        <f>Summary!C7</f>
        <v/>
      </c>
    </row>
    <row r="11">
      <c r="A11" t="inlineStr">
        <is>
          <t>Bedroom (Guest/Other)</t>
        </is>
      </c>
      <c r="B11">
        <f>Summary!B8</f>
        <v/>
      </c>
      <c r="C11" s="10">
        <f>Summary!C8</f>
        <v/>
      </c>
    </row>
    <row r="12">
      <c r="A12" t="inlineStr">
        <is>
          <t>Bathroom</t>
        </is>
      </c>
      <c r="B12">
        <f>Summary!B9</f>
        <v/>
      </c>
      <c r="C12" s="10">
        <f>Summary!C9</f>
        <v/>
      </c>
    </row>
    <row r="13">
      <c r="A13" t="inlineStr">
        <is>
          <t>Home Office / Study</t>
        </is>
      </c>
      <c r="B13">
        <f>Summary!B10</f>
        <v/>
      </c>
      <c r="C13" s="10">
        <f>Summary!C10</f>
        <v/>
      </c>
    </row>
    <row r="14">
      <c r="A14" t="inlineStr">
        <is>
          <t>Garage</t>
        </is>
      </c>
      <c r="B14">
        <f>Summary!B11</f>
        <v/>
      </c>
      <c r="C14" s="10">
        <f>Summary!C11</f>
        <v/>
      </c>
    </row>
    <row r="15">
      <c r="A15" t="inlineStr">
        <is>
          <t>Basement / Storage</t>
        </is>
      </c>
      <c r="B15">
        <f>Summary!B12</f>
        <v/>
      </c>
      <c r="C15" s="10">
        <f>Summary!C12</f>
        <v/>
      </c>
    </row>
    <row r="16">
      <c r="A16" t="inlineStr">
        <is>
          <t>Dining Room</t>
        </is>
      </c>
      <c r="B16">
        <f>Summary!B13</f>
        <v/>
      </c>
      <c r="C16" s="10">
        <f>Summary!C13</f>
        <v/>
      </c>
    </row>
    <row r="17">
      <c r="A17" t="inlineStr">
        <is>
          <t>Laundry Room</t>
        </is>
      </c>
      <c r="B17">
        <f>Summary!B14</f>
        <v/>
      </c>
      <c r="C17" s="10">
        <f>Summary!C14</f>
        <v/>
      </c>
    </row>
    <row r="18">
      <c r="A18" t="inlineStr">
        <is>
          <t>Hallway / Entry</t>
        </is>
      </c>
      <c r="B18">
        <f>Summary!B15</f>
        <v/>
      </c>
      <c r="C18" s="10">
        <f>Summary!C15</f>
        <v/>
      </c>
    </row>
    <row r="19">
      <c r="A19" t="inlineStr">
        <is>
          <t>Other</t>
        </is>
      </c>
      <c r="B19">
        <f>Summary!B16</f>
        <v/>
      </c>
      <c r="C19" s="10">
        <f>Summary!C16</f>
        <v/>
      </c>
    </row>
    <row r="20">
      <c r="A20" s="4" t="inlineStr">
        <is>
          <t>TOTAL</t>
        </is>
      </c>
      <c r="B20" s="4">
        <f>Summary!B17</f>
        <v/>
      </c>
      <c r="C20" s="11">
        <f>Summary!C17</f>
        <v/>
      </c>
    </row>
    <row r="22">
      <c r="A22" s="4" t="inlineStr">
        <is>
          <t>Photo list (items with a photo filename or link) — live Google Sheet formula (QUERY); verify in Sheets.</t>
        </is>
      </c>
    </row>
    <row r="23">
      <c r="A23">
        <f>QUERY(Inventory!A2:L201,"select B, A, L where L is not null and L &lt;&gt; ''",0)</f>
        <v/>
      </c>
    </row>
  </sheetData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3" max="3"/>
  </cols>
  <sheetData>
    <row r="1">
      <c r="A1" s="4" t="inlineStr">
        <is>
          <t>Rooms</t>
        </is>
      </c>
      <c r="C1" s="4" t="inlineStr">
        <is>
          <t>Categories</t>
        </is>
      </c>
    </row>
    <row r="2">
      <c r="A2" t="inlineStr">
        <is>
          <t>Living Room</t>
        </is>
      </c>
      <c r="C2" t="inlineStr">
        <is>
          <t>Electronics</t>
        </is>
      </c>
    </row>
    <row r="3">
      <c r="A3" t="inlineStr">
        <is>
          <t>Kitchen</t>
        </is>
      </c>
      <c r="C3" t="inlineStr">
        <is>
          <t>Appliances</t>
        </is>
      </c>
    </row>
    <row r="4">
      <c r="A4" t="inlineStr">
        <is>
          <t>Bedroom (Primary)</t>
        </is>
      </c>
      <c r="C4" t="inlineStr">
        <is>
          <t>Furniture</t>
        </is>
      </c>
    </row>
    <row r="5">
      <c r="A5" t="inlineStr">
        <is>
          <t>Bedroom (Guest/Other)</t>
        </is>
      </c>
      <c r="C5" t="inlineStr">
        <is>
          <t>Jewelry &amp; Watches</t>
        </is>
      </c>
    </row>
    <row r="6">
      <c r="A6" t="inlineStr">
        <is>
          <t>Bathroom</t>
        </is>
      </c>
      <c r="C6" t="inlineStr">
        <is>
          <t>Tools &amp; Equipment</t>
        </is>
      </c>
    </row>
    <row r="7">
      <c r="A7" t="inlineStr">
        <is>
          <t>Home Office / Study</t>
        </is>
      </c>
      <c r="C7" t="inlineStr">
        <is>
          <t>Clothing &amp; Accessories</t>
        </is>
      </c>
    </row>
    <row r="8">
      <c r="A8" t="inlineStr">
        <is>
          <t>Garage</t>
        </is>
      </c>
      <c r="C8" t="inlineStr">
        <is>
          <t>Kitchenware</t>
        </is>
      </c>
    </row>
    <row r="9">
      <c r="A9" t="inlineStr">
        <is>
          <t>Basement / Storage</t>
        </is>
      </c>
      <c r="C9" t="inlineStr">
        <is>
          <t>Sports &amp; Outdoor</t>
        </is>
      </c>
    </row>
    <row r="10">
      <c r="A10" t="inlineStr">
        <is>
          <t>Dining Room</t>
        </is>
      </c>
      <c r="C10" t="inlineStr">
        <is>
          <t>Musical Instruments</t>
        </is>
      </c>
    </row>
    <row r="11">
      <c r="A11" t="inlineStr">
        <is>
          <t>Laundry Room</t>
        </is>
      </c>
      <c r="C11" t="inlineStr">
        <is>
          <t>Other</t>
        </is>
      </c>
    </row>
    <row r="12">
      <c r="A12" t="inlineStr">
        <is>
          <t>Hallway / Entry</t>
        </is>
      </c>
    </row>
    <row r="13">
      <c r="A13" t="inlineStr">
        <is>
          <t>Other</t>
        </is>
      </c>
    </row>
  </sheetData>
  <pageMargins left="0.4" right="0.4" top="0.5" bottom="0.5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2026-10-25T02:54:44Z</dcterms:created>
  <dcterms:modified xmlns:dcterms="http://purl.org/dc/terms/" xmlns:xsi="http://www.w3.org/2001/XMLSchema-instance" xsi:type="dcterms:W3CDTF">2026-10-25T03:19:42+00:00Z</dcterms:modified>
</cp:coreProperties>
</file>