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26 Paychecks" sheetId="2" state="visible" r:id="rId2"/>
    <sheet xmlns:r="http://schemas.openxmlformats.org/officeDocument/2006/relationships" name="Paycheck Worksheet" sheetId="3" state="visible" r:id="rId3"/>
    <sheet xmlns:r="http://schemas.openxmlformats.org/officeDocument/2006/relationships" name="Bills Split" sheetId="4" state="visible" r:id="rId4"/>
    <sheet xmlns:r="http://schemas.openxmlformats.org/officeDocument/2006/relationships" name="Year at a Gl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4" fontId="2" fillId="0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Biweekly Paycheck Budget — Excel companion (SavingsPrintablesCo)</t>
        </is>
      </c>
    </row>
    <row r="3">
      <c r="A3" t="inlineStr">
        <is>
          <t>This workbook has 5 sheets. You only ever type in two of them:</t>
        </is>
      </c>
    </row>
    <row r="4">
      <c r="A4" t="inlineStr">
        <is>
          <t>1. Bills Split — fill it once: every monthly bill, assigned to Paycheck 1 or 2. Totals per paycheck calculate themselves.</t>
        </is>
      </c>
    </row>
    <row r="5">
      <c r="A5" t="inlineStr">
        <is>
          <t>2. 26 Paychecks — your year log. One row per payday (26 rows). Type the date and the amounts; Total Out, Left and Running Savings calculate themselves, and the Month column fills itself from the date.</t>
        </is>
      </c>
    </row>
    <row r="6">
      <c r="A6" t="inlineStr">
        <is>
          <t>3. Year at a Glance — do not type here. It builds itself from the 26 Paychecks log (SUMIF by month): paychecks per month, income, bills, saved and left, plus year totals.</t>
        </is>
      </c>
    </row>
    <row r="7">
      <c r="A7" t="inlineStr">
        <is>
          <t>4. Paycheck Worksheet — the detailed category template for a single pay period. Duplicate this sheet whenever you want a detailed breakdown for one paycheck; the 26 Paychecks log stays your permanent record.</t>
        </is>
      </c>
    </row>
    <row r="8">
      <c r="A8" t="inlineStr">
        <is>
          <t>Works in Microsoft Excel, Google Sheets and Apple Numbers. Personal use only. A budgeting tool, not financial advice.</t>
        </is>
      </c>
    </row>
    <row r="10">
      <c r="A10" t="inlineStr">
        <is>
          <t>IF YOU USE GOOGLE SHEETS (FREE)</t>
        </is>
      </c>
    </row>
    <row r="11">
      <c r="A11" t="inlineStr">
        <is>
          <t>The file you downloaded is already yours and editable — the copy step below is only so you always keep one clean original.</t>
        </is>
      </c>
    </row>
    <row r="12">
      <c r="A12" t="inlineStr">
        <is>
          <t>1. Upload biweekly_budget.xlsx to your Google Drive.</t>
        </is>
      </c>
    </row>
    <row r="13">
      <c r="A13" t="inlineStr">
        <is>
          <t>2. Open it with Google Sheets, then choose File &gt; Make a copy.</t>
        </is>
      </c>
    </row>
    <row r="14">
      <c r="A14" t="inlineStr">
        <is>
          <t>3. Work in the copy. If the file opens as a read-only preview, you are still in the Drive preview — open it in Google Sheets first, then make the copy.</t>
        </is>
      </c>
    </row>
    <row r="16">
      <c r="A16" t="inlineStr">
        <is>
          <t>THREE QUESTIONS EVERYONE ASKS</t>
        </is>
      </c>
    </row>
    <row r="18">
      <c r="A18" t="inlineStr">
        <is>
          <t>Q: The Excel file opens as "view-only" / Protected View — what do I do?</t>
        </is>
      </c>
    </row>
    <row r="19">
      <c r="A19" t="inlineStr">
        <is>
          <t>A: Excel opens downloaded files in Protected View: click "Enable Editing" at the top and the workbook is yours. In Google Drive, a double-click shows a preview — choose "Open with Google Sheets", then File &gt; Make a copy.</t>
        </is>
      </c>
    </row>
    <row r="21">
      <c r="A21" t="inlineStr">
        <is>
          <t>Q: How do I make it mine? Which parts do I type in?</t>
        </is>
      </c>
    </row>
    <row r="22">
      <c r="A22" t="inlineStr">
        <is>
          <t>A: Only two sheets ever take typing: Bills Split (once — every monthly bill, assigned to Paycheck 1 or Paycheck 2; the totals per paycheck calculate themselves) and 26 Paychecks (one row per payday — date and amounts; totals, what is left and running savings calculate themselves, and Year at a Glance builds itself from the log). Never type in Year at a Glance.</t>
        </is>
      </c>
    </row>
    <row r="24">
      <c r="A24" t="inlineStr">
        <is>
          <t>Q: Can I use it on my phone?</t>
        </is>
      </c>
    </row>
    <row r="25">
      <c r="A25" t="inlineStr">
        <is>
          <t>A: Yes. The free Google Sheets app or Excel app opens the same workbook, and you type in the same two sheets. The 14 planner pages are PDFs — they open in any PDF reader on your phone, or print them (A4 and US Letter included).</t>
        </is>
      </c>
    </row>
    <row r="27">
      <c r="A27" t="inlineStr">
        <is>
          <t>EXAMPLE — the first three pay periods are filled in so you can see the totals build themselves. Your copy starts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9" customWidth="1" min="3" max="3"/>
    <col width="12" customWidth="1" min="4" max="4"/>
    <col width="12" customWidth="1" min="5" max="5"/>
    <col width="17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26 Paychecks — one row per payday, all year</t>
        </is>
      </c>
    </row>
    <row r="3">
      <c r="A3" s="2" t="inlineStr">
        <is>
          <t>#</t>
        </is>
      </c>
      <c r="B3" s="2" t="inlineStr">
        <is>
          <t>Payday date</t>
        </is>
      </c>
      <c r="C3" s="2" t="inlineStr">
        <is>
          <t>Month #</t>
        </is>
      </c>
      <c r="D3" s="2" t="inlineStr">
        <is>
          <t>Income</t>
        </is>
      </c>
      <c r="E3" s="2" t="inlineStr">
        <is>
          <t>Bills</t>
        </is>
      </c>
      <c r="F3" s="2" t="inlineStr">
        <is>
          <t>Everyday spending</t>
        </is>
      </c>
      <c r="G3" s="2" t="inlineStr">
        <is>
          <t>Debt</t>
        </is>
      </c>
      <c r="H3" s="2" t="inlineStr">
        <is>
          <t>Savings</t>
        </is>
      </c>
      <c r="I3" s="2" t="inlineStr">
        <is>
          <t>Other</t>
        </is>
      </c>
      <c r="J3" s="2" t="inlineStr">
        <is>
          <t>Total out</t>
        </is>
      </c>
      <c r="K3" s="2" t="inlineStr">
        <is>
          <t>Left</t>
        </is>
      </c>
      <c r="L3" s="2" t="inlineStr">
        <is>
          <t>Running savings</t>
        </is>
      </c>
    </row>
    <row r="4">
      <c r="A4" s="3" t="n">
        <v>1</v>
      </c>
      <c r="B4" s="4" t="n">
        <v>46024</v>
      </c>
      <c r="C4" s="3">
        <f>IF(B4="","",MONTH(B4))</f>
        <v/>
      </c>
      <c r="D4" s="5" t="n">
        <v>2100</v>
      </c>
      <c r="E4" s="5" t="n">
        <v>1150</v>
      </c>
      <c r="F4" s="5" t="n">
        <v>320</v>
      </c>
      <c r="G4" s="5" t="n">
        <v>150</v>
      </c>
      <c r="H4" s="5" t="n">
        <v>200</v>
      </c>
      <c r="I4" s="5" t="n">
        <v>40</v>
      </c>
      <c r="J4" s="5">
        <f>SUM(E4:I4)</f>
        <v/>
      </c>
      <c r="K4" s="5">
        <f>D4-J4</f>
        <v/>
      </c>
      <c r="L4" s="5">
        <f>H4</f>
        <v/>
      </c>
    </row>
    <row r="5">
      <c r="A5" s="3" t="n">
        <v>2</v>
      </c>
      <c r="B5" s="4" t="n">
        <v>46038</v>
      </c>
      <c r="C5" s="3">
        <f>IF(B5="","",MONTH(B5))</f>
        <v/>
      </c>
      <c r="D5" s="5" t="n">
        <v>2137</v>
      </c>
      <c r="E5" s="5" t="n">
        <v>1175</v>
      </c>
      <c r="F5" s="5" t="n">
        <v>338</v>
      </c>
      <c r="G5" s="5" t="n">
        <v>150</v>
      </c>
      <c r="H5" s="5" t="n">
        <v>250</v>
      </c>
      <c r="I5" s="5" t="n">
        <v>40</v>
      </c>
      <c r="J5" s="5">
        <f>SUM(E5:I5)</f>
        <v/>
      </c>
      <c r="K5" s="5">
        <f>D5-J5</f>
        <v/>
      </c>
      <c r="L5" s="5">
        <f>L4+H5</f>
        <v/>
      </c>
    </row>
    <row r="6">
      <c r="A6" s="3" t="n">
        <v>3</v>
      </c>
      <c r="B6" s="4" t="n">
        <v>46052</v>
      </c>
      <c r="C6" s="3">
        <f>IF(B6="","",MONTH(B6))</f>
        <v/>
      </c>
      <c r="D6" s="5" t="n">
        <v>2174</v>
      </c>
      <c r="E6" s="5" t="n">
        <v>1200</v>
      </c>
      <c r="F6" s="5" t="n">
        <v>356</v>
      </c>
      <c r="G6" s="5" t="n">
        <v>150</v>
      </c>
      <c r="H6" s="5" t="n">
        <v>200</v>
      </c>
      <c r="I6" s="5" t="n">
        <v>40</v>
      </c>
      <c r="J6" s="5">
        <f>SUM(E6:I6)</f>
        <v/>
      </c>
      <c r="K6" s="5">
        <f>D6-J6</f>
        <v/>
      </c>
      <c r="L6" s="5">
        <f>L5+H6</f>
        <v/>
      </c>
    </row>
    <row r="7">
      <c r="A7" s="3" t="n">
        <v>4</v>
      </c>
      <c r="B7" s="4" t="n"/>
      <c r="C7" s="3">
        <f>IF(B7="","",MONTH(B7))</f>
        <v/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>
        <f>SUM(E7:I7)</f>
        <v/>
      </c>
      <c r="K7" s="5">
        <f>D7-J7</f>
        <v/>
      </c>
      <c r="L7" s="5">
        <f>L6+H7</f>
        <v/>
      </c>
    </row>
    <row r="8">
      <c r="A8" s="3" t="n">
        <v>5</v>
      </c>
      <c r="B8" s="4" t="n"/>
      <c r="C8" s="3">
        <f>IF(B8="","",MONTH(B8))</f>
        <v/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>
        <f>SUM(E8:I8)</f>
        <v/>
      </c>
      <c r="K8" s="5">
        <f>D8-J8</f>
        <v/>
      </c>
      <c r="L8" s="5">
        <f>L7+H8</f>
        <v/>
      </c>
    </row>
    <row r="9">
      <c r="A9" s="3" t="n">
        <v>6</v>
      </c>
      <c r="B9" s="4" t="n"/>
      <c r="C9" s="3">
        <f>IF(B9="","",MONTH(B9))</f>
        <v/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>
        <f>SUM(E9:I9)</f>
        <v/>
      </c>
      <c r="K9" s="5">
        <f>D9-J9</f>
        <v/>
      </c>
      <c r="L9" s="5">
        <f>L8+H9</f>
        <v/>
      </c>
    </row>
    <row r="10">
      <c r="A10" s="3" t="n">
        <v>7</v>
      </c>
      <c r="B10" s="4" t="n"/>
      <c r="C10" s="3">
        <f>IF(B10="","",MONTH(B10))</f>
        <v/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>
        <f>SUM(E10:I10)</f>
        <v/>
      </c>
      <c r="K10" s="5">
        <f>D10-J10</f>
        <v/>
      </c>
      <c r="L10" s="5">
        <f>L9+H10</f>
        <v/>
      </c>
    </row>
    <row r="11">
      <c r="A11" s="3" t="n">
        <v>8</v>
      </c>
      <c r="B11" s="4" t="n"/>
      <c r="C11" s="3">
        <f>IF(B11="","",MONTH(B11))</f>
        <v/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>
        <f>SUM(E11:I11)</f>
        <v/>
      </c>
      <c r="K11" s="5">
        <f>D11-J11</f>
        <v/>
      </c>
      <c r="L11" s="5">
        <f>L10+H11</f>
        <v/>
      </c>
    </row>
    <row r="12">
      <c r="A12" s="3" t="n">
        <v>9</v>
      </c>
      <c r="B12" s="4" t="n"/>
      <c r="C12" s="3">
        <f>IF(B12="","",MONTH(B12))</f>
        <v/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>
        <f>SUM(E12:I12)</f>
        <v/>
      </c>
      <c r="K12" s="5">
        <f>D12-J12</f>
        <v/>
      </c>
      <c r="L12" s="5">
        <f>L11+H12</f>
        <v/>
      </c>
    </row>
    <row r="13">
      <c r="A13" s="3" t="n">
        <v>10</v>
      </c>
      <c r="B13" s="4" t="n"/>
      <c r="C13" s="3">
        <f>IF(B13="","",MONTH(B13))</f>
        <v/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>
        <f>SUM(E13:I13)</f>
        <v/>
      </c>
      <c r="K13" s="5">
        <f>D13-J13</f>
        <v/>
      </c>
      <c r="L13" s="5">
        <f>L12+H13</f>
        <v/>
      </c>
    </row>
    <row r="14">
      <c r="A14" s="3" t="n">
        <v>11</v>
      </c>
      <c r="B14" s="4" t="n"/>
      <c r="C14" s="3">
        <f>IF(B14="","",MONTH(B14))</f>
        <v/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>
        <f>SUM(E14:I14)</f>
        <v/>
      </c>
      <c r="K14" s="5">
        <f>D14-J14</f>
        <v/>
      </c>
      <c r="L14" s="5">
        <f>L13+H14</f>
        <v/>
      </c>
    </row>
    <row r="15">
      <c r="A15" s="3" t="n">
        <v>12</v>
      </c>
      <c r="B15" s="4" t="n"/>
      <c r="C15" s="3">
        <f>IF(B15="","",MONTH(B15))</f>
        <v/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>
        <f>SUM(E15:I15)</f>
        <v/>
      </c>
      <c r="K15" s="5">
        <f>D15-J15</f>
        <v/>
      </c>
      <c r="L15" s="5">
        <f>L14+H15</f>
        <v/>
      </c>
    </row>
    <row r="16">
      <c r="A16" s="3" t="n">
        <v>13</v>
      </c>
      <c r="B16" s="4" t="n"/>
      <c r="C16" s="3">
        <f>IF(B16="","",MONTH(B16))</f>
        <v/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>
        <f>SUM(E16:I16)</f>
        <v/>
      </c>
      <c r="K16" s="5">
        <f>D16-J16</f>
        <v/>
      </c>
      <c r="L16" s="5">
        <f>L15+H16</f>
        <v/>
      </c>
    </row>
    <row r="17">
      <c r="A17" s="3" t="n">
        <v>14</v>
      </c>
      <c r="B17" s="4" t="n"/>
      <c r="C17" s="3">
        <f>IF(B17="","",MONTH(B17))</f>
        <v/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>
        <f>SUM(E17:I17)</f>
        <v/>
      </c>
      <c r="K17" s="5">
        <f>D17-J17</f>
        <v/>
      </c>
      <c r="L17" s="5">
        <f>L16+H17</f>
        <v/>
      </c>
    </row>
    <row r="18">
      <c r="A18" s="3" t="n">
        <v>15</v>
      </c>
      <c r="B18" s="4" t="n"/>
      <c r="C18" s="3">
        <f>IF(B18="","",MONTH(B18))</f>
        <v/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>
        <f>SUM(E18:I18)</f>
        <v/>
      </c>
      <c r="K18" s="5">
        <f>D18-J18</f>
        <v/>
      </c>
      <c r="L18" s="5">
        <f>L17+H18</f>
        <v/>
      </c>
    </row>
    <row r="19">
      <c r="A19" s="3" t="n">
        <v>16</v>
      </c>
      <c r="B19" s="4" t="n"/>
      <c r="C19" s="3">
        <f>IF(B19="","",MONTH(B19))</f>
        <v/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>
        <f>SUM(E19:I19)</f>
        <v/>
      </c>
      <c r="K19" s="5">
        <f>D19-J19</f>
        <v/>
      </c>
      <c r="L19" s="5">
        <f>L18+H19</f>
        <v/>
      </c>
    </row>
    <row r="20">
      <c r="A20" s="3" t="n">
        <v>17</v>
      </c>
      <c r="B20" s="4" t="n"/>
      <c r="C20" s="3">
        <f>IF(B20="","",MONTH(B20))</f>
        <v/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>
        <f>SUM(E20:I20)</f>
        <v/>
      </c>
      <c r="K20" s="5">
        <f>D20-J20</f>
        <v/>
      </c>
      <c r="L20" s="5">
        <f>L19+H20</f>
        <v/>
      </c>
    </row>
    <row r="21">
      <c r="A21" s="3" t="n">
        <v>18</v>
      </c>
      <c r="B21" s="4" t="n"/>
      <c r="C21" s="3">
        <f>IF(B21="","",MONTH(B21))</f>
        <v/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>
        <f>SUM(E21:I21)</f>
        <v/>
      </c>
      <c r="K21" s="5">
        <f>D21-J21</f>
        <v/>
      </c>
      <c r="L21" s="5">
        <f>L20+H21</f>
        <v/>
      </c>
    </row>
    <row r="22">
      <c r="A22" s="3" t="n">
        <v>19</v>
      </c>
      <c r="B22" s="4" t="n"/>
      <c r="C22" s="3">
        <f>IF(B22="","",MONTH(B22))</f>
        <v/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>
        <f>SUM(E22:I22)</f>
        <v/>
      </c>
      <c r="K22" s="5">
        <f>D22-J22</f>
        <v/>
      </c>
      <c r="L22" s="5">
        <f>L21+H22</f>
        <v/>
      </c>
    </row>
    <row r="23">
      <c r="A23" s="3" t="n">
        <v>20</v>
      </c>
      <c r="B23" s="4" t="n"/>
      <c r="C23" s="3">
        <f>IF(B23="","",MONTH(B23))</f>
        <v/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>
        <f>SUM(E23:I23)</f>
        <v/>
      </c>
      <c r="K23" s="5">
        <f>D23-J23</f>
        <v/>
      </c>
      <c r="L23" s="5">
        <f>L22+H23</f>
        <v/>
      </c>
    </row>
    <row r="24">
      <c r="A24" s="3" t="n">
        <v>21</v>
      </c>
      <c r="B24" s="4" t="n"/>
      <c r="C24" s="3">
        <f>IF(B24="","",MONTH(B24))</f>
        <v/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>
        <f>SUM(E24:I24)</f>
        <v/>
      </c>
      <c r="K24" s="5">
        <f>D24-J24</f>
        <v/>
      </c>
      <c r="L24" s="5">
        <f>L23+H24</f>
        <v/>
      </c>
    </row>
    <row r="25">
      <c r="A25" s="3" t="n">
        <v>22</v>
      </c>
      <c r="B25" s="4" t="n"/>
      <c r="C25" s="3">
        <f>IF(B25="","",MONTH(B25))</f>
        <v/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>
        <f>SUM(E25:I25)</f>
        <v/>
      </c>
      <c r="K25" s="5">
        <f>D25-J25</f>
        <v/>
      </c>
      <c r="L25" s="5">
        <f>L24+H25</f>
        <v/>
      </c>
    </row>
    <row r="26">
      <c r="A26" s="3" t="n">
        <v>23</v>
      </c>
      <c r="B26" s="4" t="n"/>
      <c r="C26" s="3">
        <f>IF(B26="","",MONTH(B26))</f>
        <v/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>
        <f>SUM(E26:I26)</f>
        <v/>
      </c>
      <c r="K26" s="5">
        <f>D26-J26</f>
        <v/>
      </c>
      <c r="L26" s="5">
        <f>L25+H26</f>
        <v/>
      </c>
    </row>
    <row r="27">
      <c r="A27" s="3" t="n">
        <v>24</v>
      </c>
      <c r="B27" s="4" t="n"/>
      <c r="C27" s="3">
        <f>IF(B27="","",MONTH(B27))</f>
        <v/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>
        <f>SUM(E27:I27)</f>
        <v/>
      </c>
      <c r="K27" s="5">
        <f>D27-J27</f>
        <v/>
      </c>
      <c r="L27" s="5">
        <f>L26+H27</f>
        <v/>
      </c>
    </row>
    <row r="28">
      <c r="A28" s="3" t="n">
        <v>25</v>
      </c>
      <c r="B28" s="4" t="n"/>
      <c r="C28" s="3">
        <f>IF(B28="","",MONTH(B28))</f>
        <v/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>
        <f>SUM(E28:I28)</f>
        <v/>
      </c>
      <c r="K28" s="5">
        <f>D28-J28</f>
        <v/>
      </c>
      <c r="L28" s="5">
        <f>L27+H28</f>
        <v/>
      </c>
    </row>
    <row r="29">
      <c r="A29" s="3" t="n">
        <v>26</v>
      </c>
      <c r="B29" s="4" t="n"/>
      <c r="C29" s="3">
        <f>IF(B29="","",MONTH(B29))</f>
        <v/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>
        <f>SUM(E29:I29)</f>
        <v/>
      </c>
      <c r="K29" s="5">
        <f>D29-J29</f>
        <v/>
      </c>
      <c r="L29" s="5">
        <f>L28+H29</f>
        <v/>
      </c>
    </row>
    <row r="30">
      <c r="A30" s="6" t="inlineStr">
        <is>
          <t>YEAR</t>
        </is>
      </c>
      <c r="D30" s="7">
        <f>SUM(D4:D29)</f>
        <v/>
      </c>
      <c r="E30" s="7">
        <f>SUM(E4:E29)</f>
        <v/>
      </c>
      <c r="F30" s="7">
        <f>SUM(F4:F29)</f>
        <v/>
      </c>
      <c r="G30" s="7">
        <f>SUM(G4:G29)</f>
        <v/>
      </c>
      <c r="H30" s="7">
        <f>SUM(H4:H29)</f>
        <v/>
      </c>
      <c r="I30" s="7">
        <f>SUM(I4:I29)</f>
        <v/>
      </c>
      <c r="J30" s="7">
        <f>SUM(J4:J29)</f>
        <v/>
      </c>
      <c r="K30" s="7">
        <f>SUM(K4:K29)</f>
        <v/>
      </c>
      <c r="L30" s="8">
        <f>L29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1" t="inlineStr">
        <is>
          <t>Paycheck Worksheet — detailed template for one pay period (duplicate this sheet as needed)</t>
        </is>
      </c>
    </row>
    <row r="2">
      <c r="A2" t="inlineStr">
        <is>
          <t>Payday date:</t>
        </is>
      </c>
    </row>
    <row r="3">
      <c r="A3" t="inlineStr">
        <is>
          <t>Paycheck income:</t>
        </is>
      </c>
      <c r="B3" s="8" t="n">
        <v>0</v>
      </c>
    </row>
    <row r="5">
      <c r="A5" s="2" t="inlineStr">
        <is>
          <t>Category</t>
        </is>
      </c>
      <c r="B5" s="2" t="inlineStr">
        <is>
          <t>Planned</t>
        </is>
      </c>
      <c r="C5" s="2" t="inlineStr">
        <is>
          <t>Actual</t>
        </is>
      </c>
    </row>
    <row r="6">
      <c r="A6" s="3" t="inlineStr">
        <is>
          <t>Housing</t>
        </is>
      </c>
      <c r="B6" s="5" t="n">
        <v>0</v>
      </c>
      <c r="C6" s="5" t="n">
        <v>0</v>
      </c>
    </row>
    <row r="7">
      <c r="A7" s="3" t="inlineStr">
        <is>
          <t>Food &amp; groceries</t>
        </is>
      </c>
      <c r="B7" s="5" t="n">
        <v>0</v>
      </c>
      <c r="C7" s="5" t="n">
        <v>0</v>
      </c>
    </row>
    <row r="8">
      <c r="A8" s="3" t="inlineStr">
        <is>
          <t>Transport</t>
        </is>
      </c>
      <c r="B8" s="5" t="n">
        <v>0</v>
      </c>
      <c r="C8" s="5" t="n">
        <v>0</v>
      </c>
    </row>
    <row r="9">
      <c r="A9" s="3" t="inlineStr">
        <is>
          <t>Bills &amp; utilities</t>
        </is>
      </c>
      <c r="B9" s="5" t="n">
        <v>0</v>
      </c>
      <c r="C9" s="5" t="n">
        <v>0</v>
      </c>
    </row>
    <row r="10">
      <c r="A10" s="3" t="inlineStr">
        <is>
          <t>Debt payment</t>
        </is>
      </c>
      <c r="B10" s="5" t="n">
        <v>0</v>
      </c>
      <c r="C10" s="5" t="n">
        <v>0</v>
      </c>
    </row>
    <row r="11">
      <c r="A11" s="3" t="inlineStr">
        <is>
          <t>Savings</t>
        </is>
      </c>
      <c r="B11" s="5" t="n">
        <v>0</v>
      </c>
      <c r="C11" s="5" t="n">
        <v>0</v>
      </c>
    </row>
    <row r="12">
      <c r="A12" s="3" t="inlineStr">
        <is>
          <t>Fun &amp; dining</t>
        </is>
      </c>
      <c r="B12" s="5" t="n">
        <v>0</v>
      </c>
      <c r="C12" s="5" t="n">
        <v>0</v>
      </c>
    </row>
    <row r="13">
      <c r="A13" s="3" t="inlineStr">
        <is>
          <t>Personal</t>
        </is>
      </c>
      <c r="B13" s="5" t="n">
        <v>0</v>
      </c>
      <c r="C13" s="5" t="n">
        <v>0</v>
      </c>
    </row>
    <row r="14">
      <c r="A14" s="3" t="inlineStr">
        <is>
          <t>Other</t>
        </is>
      </c>
      <c r="B14" s="5" t="n">
        <v>0</v>
      </c>
      <c r="C14" s="5" t="n">
        <v>0</v>
      </c>
    </row>
    <row r="15">
      <c r="A15" s="6" t="inlineStr">
        <is>
          <t>TOTAL</t>
        </is>
      </c>
      <c r="B15" s="8">
        <f>SUM(B6:B14)</f>
        <v/>
      </c>
      <c r="C15" s="8">
        <f>SUM(C6:C14)</f>
        <v/>
      </c>
    </row>
    <row r="16">
      <c r="A16" s="6" t="inlineStr">
        <is>
          <t>Left to assign (planned)</t>
        </is>
      </c>
      <c r="B16" s="8">
        <f>$B$3-B15</f>
        <v/>
      </c>
    </row>
    <row r="17">
      <c r="A17" s="6" t="inlineStr">
        <is>
          <t>Left (actual)</t>
        </is>
      </c>
      <c r="B17" s="8">
        <f>$B$3-C15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</cols>
  <sheetData>
    <row r="1">
      <c r="A1" s="1" t="inlineStr">
        <is>
          <t>Bill Split — assign each monthly bill to Paycheck 1 or 2</t>
        </is>
      </c>
    </row>
    <row r="3">
      <c r="A3" s="2" t="inlineStr">
        <is>
          <t>Bill</t>
        </is>
      </c>
      <c r="B3" s="2" t="inlineStr">
        <is>
          <t>Due date (day)</t>
        </is>
      </c>
      <c r="C3" s="2" t="inlineStr">
        <is>
          <t>Amount</t>
        </is>
      </c>
      <c r="D3" s="2" t="inlineStr">
        <is>
          <t>Paycheck (1 or 2)</t>
        </is>
      </c>
    </row>
    <row r="4">
      <c r="A4" s="3" t="inlineStr">
        <is>
          <t>Rent (part 1 of 2)</t>
        </is>
      </c>
      <c r="B4" s="3" t="n">
        <v>1</v>
      </c>
      <c r="C4" s="5" t="n">
        <v>600</v>
      </c>
      <c r="D4" s="3" t="n">
        <v>1</v>
      </c>
    </row>
    <row r="5">
      <c r="A5" s="3" t="inlineStr">
        <is>
          <t>Electric</t>
        </is>
      </c>
      <c r="B5" s="3" t="n">
        <v>10</v>
      </c>
      <c r="C5" s="5" t="n">
        <v>145</v>
      </c>
      <c r="D5" s="3" t="n">
        <v>1</v>
      </c>
    </row>
    <row r="6">
      <c r="A6" s="3" t="inlineStr">
        <is>
          <t>Phone</t>
        </is>
      </c>
      <c r="B6" s="3" t="n">
        <v>12</v>
      </c>
      <c r="C6" s="5" t="n">
        <v>65</v>
      </c>
      <c r="D6" s="3" t="n">
        <v>1</v>
      </c>
    </row>
    <row r="7">
      <c r="A7" s="3" t="inlineStr">
        <is>
          <t>Internet</t>
        </is>
      </c>
      <c r="B7" s="3" t="n">
        <v>15</v>
      </c>
      <c r="C7" s="5" t="n">
        <v>60</v>
      </c>
      <c r="D7" s="3" t="n">
        <v>1</v>
      </c>
    </row>
    <row r="8">
      <c r="A8" s="3" t="inlineStr">
        <is>
          <t>Rent (part 2 of 2)</t>
        </is>
      </c>
      <c r="B8" s="3" t="n">
        <v>1</v>
      </c>
      <c r="C8" s="5" t="n">
        <v>600</v>
      </c>
      <c r="D8" s="3" t="n">
        <v>2</v>
      </c>
    </row>
    <row r="9">
      <c r="A9" s="3" t="inlineStr">
        <is>
          <t>Water</t>
        </is>
      </c>
      <c r="B9" s="3" t="n">
        <v>20</v>
      </c>
      <c r="C9" s="5" t="n">
        <v>55</v>
      </c>
      <c r="D9" s="3" t="n">
        <v>2</v>
      </c>
    </row>
    <row r="10">
      <c r="A10" s="3" t="inlineStr">
        <is>
          <t>Car insurance</t>
        </is>
      </c>
      <c r="B10" s="3" t="n">
        <v>22</v>
      </c>
      <c r="C10" s="5" t="n">
        <v>180</v>
      </c>
      <c r="D10" s="3" t="n">
        <v>2</v>
      </c>
    </row>
    <row r="11">
      <c r="A11" s="3" t="inlineStr">
        <is>
          <t>Streaming subscriptions</t>
        </is>
      </c>
      <c r="B11" s="3" t="n">
        <v>25</v>
      </c>
      <c r="C11" s="5" t="n">
        <v>35</v>
      </c>
      <c r="D11" s="3" t="n">
        <v>2</v>
      </c>
    </row>
    <row r="12">
      <c r="A12" s="3" t="inlineStr">
        <is>
          <t>Minimum debt payment</t>
        </is>
      </c>
      <c r="B12" s="3" t="n">
        <v>28</v>
      </c>
      <c r="C12" s="5" t="n">
        <v>210</v>
      </c>
      <c r="D12" s="3" t="n">
        <v>2</v>
      </c>
    </row>
    <row r="13">
      <c r="A13" s="3" t="n"/>
      <c r="B13" s="3" t="n"/>
      <c r="C13" s="5" t="n"/>
      <c r="D13" s="3" t="n"/>
    </row>
    <row r="14">
      <c r="A14" s="3" t="n"/>
      <c r="B14" s="3" t="n"/>
      <c r="C14" s="5" t="n"/>
      <c r="D14" s="3" t="n"/>
    </row>
    <row r="15">
      <c r="A15" s="3" t="n"/>
      <c r="B15" s="3" t="n"/>
      <c r="C15" s="5" t="n"/>
      <c r="D15" s="3" t="n"/>
    </row>
    <row r="16">
      <c r="A16" s="3" t="n"/>
      <c r="B16" s="3" t="n"/>
      <c r="C16" s="5" t="n"/>
      <c r="D16" s="3" t="n"/>
    </row>
    <row r="17">
      <c r="A17" s="3" t="n"/>
      <c r="B17" s="3" t="n"/>
      <c r="C17" s="5" t="n"/>
      <c r="D17" s="3" t="n"/>
    </row>
    <row r="18">
      <c r="A18" s="3" t="n"/>
      <c r="B18" s="3" t="n"/>
      <c r="C18" s="5" t="n"/>
      <c r="D18" s="3" t="n"/>
    </row>
    <row r="19">
      <c r="A19" s="3" t="n"/>
      <c r="B19" s="3" t="n"/>
      <c r="C19" s="5" t="n"/>
      <c r="D19" s="3" t="n"/>
    </row>
    <row r="20">
      <c r="A20" s="3" t="n"/>
      <c r="B20" s="3" t="n"/>
      <c r="C20" s="5" t="n"/>
      <c r="D20" s="3" t="n"/>
    </row>
    <row r="22">
      <c r="A22" s="6" t="inlineStr">
        <is>
          <t>Total for Paycheck 1:</t>
        </is>
      </c>
      <c r="C22" s="8">
        <f>SUMIF(D4:D20,1,C4:C20)</f>
        <v/>
      </c>
    </row>
    <row r="23">
      <c r="A23" s="6" t="inlineStr">
        <is>
          <t>Total for Paycheck 2:</t>
        </is>
      </c>
      <c r="C23" s="8">
        <f>SUMIF(D4:D20,2,C4:C20)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Year at a Glance — builds itself from the 26 Paychecks log. Do not type here.</t>
        </is>
      </c>
    </row>
    <row r="3">
      <c r="A3" s="2" t="inlineStr">
        <is>
          <t>Month</t>
        </is>
      </c>
      <c r="B3" s="2" t="inlineStr">
        <is>
          <t>Paychecks</t>
        </is>
      </c>
      <c r="C3" s="2" t="inlineStr">
        <is>
          <t>Income</t>
        </is>
      </c>
      <c r="D3" s="2" t="inlineStr">
        <is>
          <t>Bills</t>
        </is>
      </c>
      <c r="E3" s="2" t="inlineStr">
        <is>
          <t>Saved</t>
        </is>
      </c>
      <c r="F3" s="2" t="inlineStr">
        <is>
          <t>Left</t>
        </is>
      </c>
    </row>
    <row r="4">
      <c r="A4" s="3" t="inlineStr">
        <is>
          <t>January</t>
        </is>
      </c>
      <c r="B4" s="3">
        <f>COUNTIF('26 Paychecks'!$C$4:$C$29,1)</f>
        <v/>
      </c>
      <c r="C4" s="5">
        <f>SUMIF('26 Paychecks'!$C$4:$C$29,1,'26 Paychecks'!$D$4:$D$29)</f>
        <v/>
      </c>
      <c r="D4" s="5">
        <f>SUMIF('26 Paychecks'!$C$4:$C$29,1,'26 Paychecks'!$E$4:$E$29)</f>
        <v/>
      </c>
      <c r="E4" s="5">
        <f>SUMIF('26 Paychecks'!$C$4:$C$29,1,'26 Paychecks'!$H$4:$H$29)</f>
        <v/>
      </c>
      <c r="F4" s="5">
        <f>SUMIF('26 Paychecks'!$C$4:$C$29,1,'26 Paychecks'!$K$4:$K$29)</f>
        <v/>
      </c>
    </row>
    <row r="5">
      <c r="A5" s="3" t="inlineStr">
        <is>
          <t>February</t>
        </is>
      </c>
      <c r="B5" s="3">
        <f>COUNTIF('26 Paychecks'!$C$4:$C$29,2)</f>
        <v/>
      </c>
      <c r="C5" s="5">
        <f>SUMIF('26 Paychecks'!$C$4:$C$29,2,'26 Paychecks'!$D$4:$D$29)</f>
        <v/>
      </c>
      <c r="D5" s="5">
        <f>SUMIF('26 Paychecks'!$C$4:$C$29,2,'26 Paychecks'!$E$4:$E$29)</f>
        <v/>
      </c>
      <c r="E5" s="5">
        <f>SUMIF('26 Paychecks'!$C$4:$C$29,2,'26 Paychecks'!$H$4:$H$29)</f>
        <v/>
      </c>
      <c r="F5" s="5">
        <f>SUMIF('26 Paychecks'!$C$4:$C$29,2,'26 Paychecks'!$K$4:$K$29)</f>
        <v/>
      </c>
    </row>
    <row r="6">
      <c r="A6" s="3" t="inlineStr">
        <is>
          <t>March</t>
        </is>
      </c>
      <c r="B6" s="3">
        <f>COUNTIF('26 Paychecks'!$C$4:$C$29,3)</f>
        <v/>
      </c>
      <c r="C6" s="5">
        <f>SUMIF('26 Paychecks'!$C$4:$C$29,3,'26 Paychecks'!$D$4:$D$29)</f>
        <v/>
      </c>
      <c r="D6" s="5">
        <f>SUMIF('26 Paychecks'!$C$4:$C$29,3,'26 Paychecks'!$E$4:$E$29)</f>
        <v/>
      </c>
      <c r="E6" s="5">
        <f>SUMIF('26 Paychecks'!$C$4:$C$29,3,'26 Paychecks'!$H$4:$H$29)</f>
        <v/>
      </c>
      <c r="F6" s="5">
        <f>SUMIF('26 Paychecks'!$C$4:$C$29,3,'26 Paychecks'!$K$4:$K$29)</f>
        <v/>
      </c>
    </row>
    <row r="7">
      <c r="A7" s="3" t="inlineStr">
        <is>
          <t>April</t>
        </is>
      </c>
      <c r="B7" s="3">
        <f>COUNTIF('26 Paychecks'!$C$4:$C$29,4)</f>
        <v/>
      </c>
      <c r="C7" s="5">
        <f>SUMIF('26 Paychecks'!$C$4:$C$29,4,'26 Paychecks'!$D$4:$D$29)</f>
        <v/>
      </c>
      <c r="D7" s="5">
        <f>SUMIF('26 Paychecks'!$C$4:$C$29,4,'26 Paychecks'!$E$4:$E$29)</f>
        <v/>
      </c>
      <c r="E7" s="5">
        <f>SUMIF('26 Paychecks'!$C$4:$C$29,4,'26 Paychecks'!$H$4:$H$29)</f>
        <v/>
      </c>
      <c r="F7" s="5">
        <f>SUMIF('26 Paychecks'!$C$4:$C$29,4,'26 Paychecks'!$K$4:$K$29)</f>
        <v/>
      </c>
    </row>
    <row r="8">
      <c r="A8" s="3" t="inlineStr">
        <is>
          <t>May</t>
        </is>
      </c>
      <c r="B8" s="3">
        <f>COUNTIF('26 Paychecks'!$C$4:$C$29,5)</f>
        <v/>
      </c>
      <c r="C8" s="5">
        <f>SUMIF('26 Paychecks'!$C$4:$C$29,5,'26 Paychecks'!$D$4:$D$29)</f>
        <v/>
      </c>
      <c r="D8" s="5">
        <f>SUMIF('26 Paychecks'!$C$4:$C$29,5,'26 Paychecks'!$E$4:$E$29)</f>
        <v/>
      </c>
      <c r="E8" s="5">
        <f>SUMIF('26 Paychecks'!$C$4:$C$29,5,'26 Paychecks'!$H$4:$H$29)</f>
        <v/>
      </c>
      <c r="F8" s="5">
        <f>SUMIF('26 Paychecks'!$C$4:$C$29,5,'26 Paychecks'!$K$4:$K$29)</f>
        <v/>
      </c>
    </row>
    <row r="9">
      <c r="A9" s="3" t="inlineStr">
        <is>
          <t>June</t>
        </is>
      </c>
      <c r="B9" s="3">
        <f>COUNTIF('26 Paychecks'!$C$4:$C$29,6)</f>
        <v/>
      </c>
      <c r="C9" s="5">
        <f>SUMIF('26 Paychecks'!$C$4:$C$29,6,'26 Paychecks'!$D$4:$D$29)</f>
        <v/>
      </c>
      <c r="D9" s="5">
        <f>SUMIF('26 Paychecks'!$C$4:$C$29,6,'26 Paychecks'!$E$4:$E$29)</f>
        <v/>
      </c>
      <c r="E9" s="5">
        <f>SUMIF('26 Paychecks'!$C$4:$C$29,6,'26 Paychecks'!$H$4:$H$29)</f>
        <v/>
      </c>
      <c r="F9" s="5">
        <f>SUMIF('26 Paychecks'!$C$4:$C$29,6,'26 Paychecks'!$K$4:$K$29)</f>
        <v/>
      </c>
    </row>
    <row r="10">
      <c r="A10" s="3" t="inlineStr">
        <is>
          <t>July</t>
        </is>
      </c>
      <c r="B10" s="3">
        <f>COUNTIF('26 Paychecks'!$C$4:$C$29,7)</f>
        <v/>
      </c>
      <c r="C10" s="5">
        <f>SUMIF('26 Paychecks'!$C$4:$C$29,7,'26 Paychecks'!$D$4:$D$29)</f>
        <v/>
      </c>
      <c r="D10" s="5">
        <f>SUMIF('26 Paychecks'!$C$4:$C$29,7,'26 Paychecks'!$E$4:$E$29)</f>
        <v/>
      </c>
      <c r="E10" s="5">
        <f>SUMIF('26 Paychecks'!$C$4:$C$29,7,'26 Paychecks'!$H$4:$H$29)</f>
        <v/>
      </c>
      <c r="F10" s="5">
        <f>SUMIF('26 Paychecks'!$C$4:$C$29,7,'26 Paychecks'!$K$4:$K$29)</f>
        <v/>
      </c>
    </row>
    <row r="11">
      <c r="A11" s="3" t="inlineStr">
        <is>
          <t>August</t>
        </is>
      </c>
      <c r="B11" s="3">
        <f>COUNTIF('26 Paychecks'!$C$4:$C$29,8)</f>
        <v/>
      </c>
      <c r="C11" s="5">
        <f>SUMIF('26 Paychecks'!$C$4:$C$29,8,'26 Paychecks'!$D$4:$D$29)</f>
        <v/>
      </c>
      <c r="D11" s="5">
        <f>SUMIF('26 Paychecks'!$C$4:$C$29,8,'26 Paychecks'!$E$4:$E$29)</f>
        <v/>
      </c>
      <c r="E11" s="5">
        <f>SUMIF('26 Paychecks'!$C$4:$C$29,8,'26 Paychecks'!$H$4:$H$29)</f>
        <v/>
      </c>
      <c r="F11" s="5">
        <f>SUMIF('26 Paychecks'!$C$4:$C$29,8,'26 Paychecks'!$K$4:$K$29)</f>
        <v/>
      </c>
    </row>
    <row r="12">
      <c r="A12" s="3" t="inlineStr">
        <is>
          <t>September</t>
        </is>
      </c>
      <c r="B12" s="3">
        <f>COUNTIF('26 Paychecks'!$C$4:$C$29,9)</f>
        <v/>
      </c>
      <c r="C12" s="5">
        <f>SUMIF('26 Paychecks'!$C$4:$C$29,9,'26 Paychecks'!$D$4:$D$29)</f>
        <v/>
      </c>
      <c r="D12" s="5">
        <f>SUMIF('26 Paychecks'!$C$4:$C$29,9,'26 Paychecks'!$E$4:$E$29)</f>
        <v/>
      </c>
      <c r="E12" s="5">
        <f>SUMIF('26 Paychecks'!$C$4:$C$29,9,'26 Paychecks'!$H$4:$H$29)</f>
        <v/>
      </c>
      <c r="F12" s="5">
        <f>SUMIF('26 Paychecks'!$C$4:$C$29,9,'26 Paychecks'!$K$4:$K$29)</f>
        <v/>
      </c>
    </row>
    <row r="13">
      <c r="A13" s="3" t="inlineStr">
        <is>
          <t>October</t>
        </is>
      </c>
      <c r="B13" s="3">
        <f>COUNTIF('26 Paychecks'!$C$4:$C$29,10)</f>
        <v/>
      </c>
      <c r="C13" s="5">
        <f>SUMIF('26 Paychecks'!$C$4:$C$29,10,'26 Paychecks'!$D$4:$D$29)</f>
        <v/>
      </c>
      <c r="D13" s="5">
        <f>SUMIF('26 Paychecks'!$C$4:$C$29,10,'26 Paychecks'!$E$4:$E$29)</f>
        <v/>
      </c>
      <c r="E13" s="5">
        <f>SUMIF('26 Paychecks'!$C$4:$C$29,10,'26 Paychecks'!$H$4:$H$29)</f>
        <v/>
      </c>
      <c r="F13" s="5">
        <f>SUMIF('26 Paychecks'!$C$4:$C$29,10,'26 Paychecks'!$K$4:$K$29)</f>
        <v/>
      </c>
    </row>
    <row r="14">
      <c r="A14" s="3" t="inlineStr">
        <is>
          <t>November</t>
        </is>
      </c>
      <c r="B14" s="3">
        <f>COUNTIF('26 Paychecks'!$C$4:$C$29,11)</f>
        <v/>
      </c>
      <c r="C14" s="5">
        <f>SUMIF('26 Paychecks'!$C$4:$C$29,11,'26 Paychecks'!$D$4:$D$29)</f>
        <v/>
      </c>
      <c r="D14" s="5">
        <f>SUMIF('26 Paychecks'!$C$4:$C$29,11,'26 Paychecks'!$E$4:$E$29)</f>
        <v/>
      </c>
      <c r="E14" s="5">
        <f>SUMIF('26 Paychecks'!$C$4:$C$29,11,'26 Paychecks'!$H$4:$H$29)</f>
        <v/>
      </c>
      <c r="F14" s="5">
        <f>SUMIF('26 Paychecks'!$C$4:$C$29,11,'26 Paychecks'!$K$4:$K$29)</f>
        <v/>
      </c>
    </row>
    <row r="15">
      <c r="A15" s="3" t="inlineStr">
        <is>
          <t>December</t>
        </is>
      </c>
      <c r="B15" s="3">
        <f>COUNTIF('26 Paychecks'!$C$4:$C$29,12)</f>
        <v/>
      </c>
      <c r="C15" s="5">
        <f>SUMIF('26 Paychecks'!$C$4:$C$29,12,'26 Paychecks'!$D$4:$D$29)</f>
        <v/>
      </c>
      <c r="D15" s="5">
        <f>SUMIF('26 Paychecks'!$C$4:$C$29,12,'26 Paychecks'!$E$4:$E$29)</f>
        <v/>
      </c>
      <c r="E15" s="5">
        <f>SUMIF('26 Paychecks'!$C$4:$C$29,12,'26 Paychecks'!$H$4:$H$29)</f>
        <v/>
      </c>
      <c r="F15" s="5">
        <f>SUMIF('26 Paychecks'!$C$4:$C$29,12,'26 Paychecks'!$K$4:$K$29)</f>
        <v/>
      </c>
    </row>
    <row r="16">
      <c r="A16" s="6" t="inlineStr">
        <is>
          <t>YEAR TOTAL</t>
        </is>
      </c>
      <c r="B16">
        <f>SUM(B4:B15)</f>
        <v/>
      </c>
      <c r="C16" s="8">
        <f>SUM(C4:C15)</f>
        <v/>
      </c>
      <c r="D16" s="8">
        <f>SUM(D4:D15)</f>
        <v/>
      </c>
      <c r="E16" s="8">
        <f>SUM(E4:E15)</f>
        <v/>
      </c>
      <c r="F16" s="8">
        <f>SUM(F4:F15)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2026-10-21T16:26:48Z</dcterms:created>
  <dcterms:modified xmlns:dcterms="http://purl.org/dc/terms/" xmlns:xsi="http://www.w3.org/2001/XMLSchema-instance" xsi:type="dcterms:W3CDTF">2026-10-24T09:37:55+00:00Z</dcterms:modified>
</cp:coreProperties>
</file>