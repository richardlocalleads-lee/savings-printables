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untdown Plan" sheetId="2" state="visible" r:id="rId2"/>
  </sheets>
  <definedNames>
    <definedName name="_xlnm.Print_Titles" localSheetId="1">'Countdown Plan'!$20:$20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mmm d, yyyy"/>
  </numFmts>
  <fonts count="9">
    <font>
      <name val="Calibri"/>
      <family val="2"/>
      <color theme="1"/>
      <sz val="11"/>
      <scheme val="minor"/>
    </font>
    <font>
      <name val="Calibri"/>
      <b val="1"/>
      <color rgb="00111111"/>
      <sz val="14"/>
    </font>
    <font>
      <name val="Calibri"/>
      <i val="1"/>
      <color rgb="00555555"/>
      <sz val="10"/>
    </font>
    <font>
      <name val="Calibri"/>
      <b val="1"/>
      <color rgb="00111111"/>
      <sz val="11"/>
    </font>
    <font>
      <name val="Calibri"/>
      <color rgb="00111111"/>
      <sz val="11"/>
    </font>
    <font>
      <name val="Calibri"/>
      <color rgb="00555555"/>
      <sz val="10"/>
    </font>
    <font>
      <name val="Calibri"/>
      <color rgb="00555555"/>
      <sz val="11"/>
    </font>
    <font>
      <b val="1"/>
      <sz val="16"/>
    </font>
    <font>
      <sz val="1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164" fontId="4" fillId="2" borderId="1" pivotButton="0" quotePrefix="0" xfId="0"/>
    <xf numFmtId="0" fontId="5" fillId="0" borderId="0" pivotButton="0" quotePrefix="0" xfId="0"/>
    <xf numFmtId="165" fontId="4" fillId="2" borderId="1" pivotButton="0" quotePrefix="0" xfId="0"/>
    <xf numFmtId="0" fontId="4" fillId="2" borderId="1" pivotButton="0" quotePrefix="0" xfId="0"/>
    <xf numFmtId="164" fontId="3" fillId="0" borderId="0" pivotButton="0" quotePrefix="0" xfId="0"/>
    <xf numFmtId="1" fontId="3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4" fontId="6" fillId="0" borderId="1" pivotButton="0" quotePrefix="0" xfId="0"/>
    <xf numFmtId="0" fontId="5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165" fontId="4" fillId="2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7" t="inlineStr">
        <is>
          <t>START HERE — Christmas Countdown Savings</t>
        </is>
      </c>
    </row>
    <row r="2"/>
    <row r="3">
      <c r="A3" s="18" t="inlineStr">
        <is>
          <t>You are looking at the shared master copy. It is view-only on purpose, so every buyer starts from the same clean sheet. Make your own copy first — it takes about 30 seconds — and then every blue cell is yours to change.</t>
        </is>
      </c>
    </row>
    <row r="4"/>
    <row r="5">
      <c r="A5" s="18" t="inlineStr">
        <is>
          <t>MAKE YOUR OWN COPY (GOOGLE SHEETS)</t>
        </is>
      </c>
    </row>
    <row r="6">
      <c r="A6" s="18" t="inlineStr">
        <is>
          <t>1. Use the ready-made copy link in the Start Here PDF from your download. It opens this sheet with the copy button ready.</t>
        </is>
      </c>
    </row>
    <row r="7">
      <c r="A7" s="18" t="inlineStr">
        <is>
          <t>2. Click "Make a copy". Google saves the copy into your own Drive, under your own account.</t>
        </is>
      </c>
    </row>
    <row r="8">
      <c r="A8" s="18" t="inlineStr">
        <is>
          <t>3. Rename it if you like, then open the Countdown Plan tab and start with the five light-blue cells at the top.</t>
        </is>
      </c>
    </row>
    <row r="9"/>
    <row r="10">
      <c r="A10" s="18" t="inlineStr">
        <is>
          <t>Opened this sheet from Google Drive instead of the link? Go to File &gt; Make a copy — same result.</t>
        </is>
      </c>
    </row>
    <row r="11"/>
    <row r="12">
      <c r="A12" s="18" t="inlineStr">
        <is>
          <t>USING EXCEL INSTEAD?</t>
        </is>
      </c>
    </row>
    <row r="13">
      <c r="A13" s="18" t="inlineStr">
        <is>
          <t>Open the .xlsx file from your download and save it under a new name. No copy step needed — that file is already yours.</t>
        </is>
      </c>
    </row>
    <row r="14"/>
    <row r="15">
      <c r="A15" s="18" t="inlineStr">
        <is>
          <t>THEN, THE 30-SECOND START</t>
        </is>
      </c>
    </row>
    <row r="16">
      <c r="A16" s="18" t="inlineStr">
        <is>
          <t>On the Countdown Plan tab: type your goal, what you have already saved, your first payday, how often you are paid, and your save-by date. After each payday, type what you actually saved. That is all you ever type — dates, amounts and totals work themselves out.</t>
        </is>
      </c>
    </row>
    <row r="17"/>
    <row r="18">
      <c r="A18" s="18" t="inlineStr">
        <is>
          <t>THREE QUESTIONS EVERYONE ASKS</t>
        </is>
      </c>
    </row>
    <row r="19"/>
    <row r="20">
      <c r="A20" s="18" t="inlineStr">
        <is>
          <t>Q: Why can't I type in this sheet? (It says "view-only".)</t>
        </is>
      </c>
    </row>
    <row r="21">
      <c r="A21" s="18" t="inlineStr">
        <is>
          <t>A: Because this is the shared master — it stays view-only so it can never be changed by accident. Your own copy (the steps above) is fully editable. If a cell still will not type, you are still in the master: your copy is the one saved in your own Google Drive.</t>
        </is>
      </c>
    </row>
    <row r="22"/>
    <row r="23">
      <c r="A23" s="18" t="inlineStr">
        <is>
          <t>Q: How do I make it mine?</t>
        </is>
      </c>
    </row>
    <row r="24">
      <c r="A24" s="18" t="inlineStr">
        <is>
          <t>A: Make the copy, then change the five light-blue cells on the Countdown Plan tab — goal, already saved, first payday, how often you are paid, save-by date. Missed a payday later? Type 0. Saved less? Type what really happened. What is left is automatically spread over your remaining paydays.</t>
        </is>
      </c>
    </row>
    <row r="25"/>
    <row r="26">
      <c r="A26" s="18" t="inlineStr">
        <is>
          <t>Q: Can I use it on my phone?</t>
        </is>
      </c>
    </row>
    <row r="27">
      <c r="A27" s="18" t="inlineStr">
        <is>
          <t>A: Yes. Open your copy in the free Google Sheets app and type in the same blue cells — the formulas work the same on a phone, a tablet and a computer. For the Excel file, the free Excel app works the same way.</t>
        </is>
      </c>
    </row>
    <row r="28"/>
    <row r="29">
      <c r="A29" s="18" t="inlineStr">
        <is>
          <t>Stuck? Message us through Etsy and tell us which step you reached — we will get you unstuck.</t>
        </is>
      </c>
    </row>
    <row r="30">
      <c r="A30" s="18" t="inlineStr">
        <is>
          <t>Personal use only. Settled Days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5" customWidth="1" min="3" max="3"/>
    <col width="17" customWidth="1" min="4" max="4"/>
    <col width="15" customWidth="1" min="5" max="5"/>
    <col width="15" customWidth="1" min="6" max="6"/>
    <col width="20" customWidth="1" min="7" max="7"/>
    <col width="14" customWidth="1" min="8" max="8"/>
  </cols>
  <sheetData>
    <row r="1">
      <c r="A1" s="1" t="inlineStr">
        <is>
          <t>Settled Days — Christmas Countdown Savings</t>
        </is>
      </c>
    </row>
    <row r="2" ht="30" customHeight="1">
      <c r="A2" s="2" t="inlineStr">
        <is>
          <t>Save for Christmas by paydays, not weeks. However many paydays you have left is how many chances you get — this sheet splits your goal across them, and re-splits it every time life happens.</t>
        </is>
      </c>
    </row>
    <row r="4">
      <c r="A4" s="3" t="inlineStr">
        <is>
          <t>HOW TO USE (30 SECONDS)</t>
        </is>
      </c>
    </row>
    <row r="5" ht="30" customHeight="1">
      <c r="A5" s="4" t="inlineStr">
        <is>
          <t>1.  Fill in the five light-blue cells below: your goal, what you have already saved, your first payday, how often you are paid, and your save-by date.</t>
        </is>
      </c>
    </row>
    <row r="6" ht="30" customHeight="1">
      <c r="A6" s="4" t="inlineStr">
        <is>
          <t>2.  On each payday, set aside the amount in the “Set aside” column, then type what you actually saved in the blue column next to it.</t>
        </is>
      </c>
    </row>
    <row r="7" ht="30" customHeight="1">
      <c r="A7" s="4" t="inlineStr">
        <is>
          <t>3.  Missed a payday, or saved less than planned? Type what really happened (0 if nothing). What is left is automatically spread over your remaining paydays — watch the “Set aside” amounts update themselves.</t>
        </is>
      </c>
    </row>
    <row r="8" ht="30" customHeight="1">
      <c r="A8" s="4" t="inlineStr">
        <is>
          <t>4.  Prefer paper? Print the check-off page from this kit and tick off each payday as you go. It follows the same plan.</t>
        </is>
      </c>
    </row>
    <row r="10">
      <c r="A10" s="3" t="inlineStr">
        <is>
          <t>YOUR NUMBERS</t>
        </is>
      </c>
    </row>
    <row r="11">
      <c r="A11" s="3" t="inlineStr">
        <is>
          <t>Christmas savings goal ($)</t>
        </is>
      </c>
      <c r="C11" s="5" t="n">
        <v>600</v>
      </c>
      <c r="D11" s="6" t="inlineStr">
        <is>
          <t>The total you want ready for Christmas.</t>
        </is>
      </c>
    </row>
    <row r="12">
      <c r="A12" s="3" t="inlineStr">
        <is>
          <t>Already saved ($)</t>
        </is>
      </c>
      <c r="C12" s="5" t="n">
        <v>50</v>
      </c>
      <c r="D12" s="6" t="inlineStr">
        <is>
          <t>Whatever is already set aside counts — even $0.</t>
        </is>
      </c>
    </row>
    <row r="13">
      <c r="A13" s="3" t="inlineStr">
        <is>
          <t>First payday</t>
        </is>
      </c>
      <c r="C13" s="19" t="n">
        <v>46325</v>
      </c>
      <c r="D13" s="6" t="inlineStr">
        <is>
          <t>Your next payday. The plan counts from here.</t>
        </is>
      </c>
    </row>
    <row r="14">
      <c r="A14" s="3" t="inlineStr">
        <is>
          <t>How often are you paid?</t>
        </is>
      </c>
      <c r="C14" s="8" t="inlineStr">
        <is>
          <t>Every 2 weeks</t>
        </is>
      </c>
      <c r="D14" s="6" t="inlineStr">
        <is>
          <t>Weekly, every 2 weeks, or monthly.</t>
        </is>
      </c>
    </row>
    <row r="15">
      <c r="A15" s="3" t="inlineStr">
        <is>
          <t>Save-by date</t>
        </is>
      </c>
      <c r="C15" s="19" t="n">
        <v>46380</v>
      </c>
      <c r="D15" s="6" t="inlineStr">
        <is>
          <t>Default Dec 24. Paydays after this date are not counted.</t>
        </is>
      </c>
    </row>
    <row r="17">
      <c r="A17" s="3" t="inlineStr">
        <is>
          <t>Still to save</t>
        </is>
      </c>
      <c r="C17" s="9">
        <f>MAX(C11-C12,0)</f>
        <v/>
      </c>
    </row>
    <row r="18">
      <c r="A18" s="3" t="inlineStr">
        <is>
          <t>Paydays in your plan</t>
        </is>
      </c>
      <c r="C18" s="10">
        <f>SUMPRODUCT((B21:B46&lt;=C15)*(B21:B46&lt;&gt;""))</f>
        <v/>
      </c>
    </row>
    <row r="19">
      <c r="A19" s="3" t="inlineStr">
        <is>
          <t>Set aside on payday #1</t>
        </is>
      </c>
      <c r="C19" s="9">
        <f>IF(C21="","",C21)</f>
        <v/>
      </c>
    </row>
    <row r="20">
      <c r="A20" s="11" t="inlineStr">
        <is>
          <t>#</t>
        </is>
      </c>
      <c r="B20" s="11" t="inlineStr">
        <is>
          <t>Payday date</t>
        </is>
      </c>
      <c r="C20" s="11" t="inlineStr">
        <is>
          <t>Set aside ($)</t>
        </is>
      </c>
      <c r="D20" s="11" t="inlineStr">
        <is>
          <t>Actually saved ($)</t>
        </is>
      </c>
      <c r="E20" s="11" t="inlineStr">
        <is>
          <t>Saved so far ($)</t>
        </is>
      </c>
      <c r="F20" s="11" t="inlineStr">
        <is>
          <t>Still to go ($)</t>
        </is>
      </c>
      <c r="G20" s="11" t="inlineStr">
        <is>
          <t>Status</t>
        </is>
      </c>
      <c r="H20" s="11" t="inlineStr">
        <is>
          <t>Plan left ($)</t>
        </is>
      </c>
    </row>
    <row r="21">
      <c r="A21" s="12" t="n">
        <v>1</v>
      </c>
      <c r="B21" s="20">
        <f>IF($C$13="","",$C$13)</f>
        <v/>
      </c>
      <c r="C21" s="14">
        <f>IF(OR($B21="",$B21&gt;$C$15),"",ROUND(MAX($H21,0)/MAX(SUMPRODUCT(($B$21:$B$46&lt;=$C$15)*($B$21:$B$46&lt;&gt;"")*(ROW($B$21:$B$46)&gt;=ROW())),1),2))</f>
        <v/>
      </c>
      <c r="D21" s="5" t="n"/>
      <c r="E21" s="14">
        <f>IF($B21="","",$C$12+SUM($D$21:$D21))</f>
        <v/>
      </c>
      <c r="F21" s="14">
        <f>IF($B21="","",MAX($C$11-$E21,0))</f>
        <v/>
      </c>
      <c r="G21" s="12">
        <f>IF($B21="","",IF($B21&gt;$C$15,"After save-by date",IF($E21&gt;=$C$11,"Goal reached",IF($D21="","To do","Saved"))))</f>
        <v/>
      </c>
      <c r="H21" s="15">
        <f>$C$11-$C$12</f>
        <v/>
      </c>
    </row>
    <row r="22">
      <c r="A22" s="12" t="n">
        <v>2</v>
      </c>
      <c r="B22" s="20">
        <f>IF(OR($C$13="",B21=""),"",IF($C$14="Weekly",B21+7,IF($C$14="Every 2 weeks",B21+14,EDATE($C$13,ROW()-21))))</f>
        <v/>
      </c>
      <c r="C22" s="14">
        <f>IF(OR($B22="",$B22&gt;$C$15),"",ROUND(MAX($H22,0)/MAX(SUMPRODUCT(($B$21:$B$46&lt;=$C$15)*($B$21:$B$46&lt;&gt;"")*(ROW($B$21:$B$46)&gt;=ROW())),1),2))</f>
        <v/>
      </c>
      <c r="D22" s="5" t="n"/>
      <c r="E22" s="14">
        <f>IF($B22="","",$C$12+SUM($D$21:$D22))</f>
        <v/>
      </c>
      <c r="F22" s="14">
        <f>IF($B22="","",MAX($C$11-$E22,0))</f>
        <v/>
      </c>
      <c r="G22" s="12">
        <f>IF($B22="","",IF($B22&gt;$C$15,"After save-by date",IF($E22&gt;=$C$11,"Goal reached",IF($D22="","To do","Saved"))))</f>
        <v/>
      </c>
      <c r="H22" s="15">
        <f>IF(OR($B21="",$B21&gt;$C$15),$H21,$H21-IF($D21="",$C21,$D21))</f>
        <v/>
      </c>
    </row>
    <row r="23">
      <c r="A23" s="12" t="n">
        <v>3</v>
      </c>
      <c r="B23" s="20">
        <f>IF(OR($C$13="",B22=""),"",IF($C$14="Weekly",B22+7,IF($C$14="Every 2 weeks",B22+14,EDATE($C$13,ROW()-21))))</f>
        <v/>
      </c>
      <c r="C23" s="14">
        <f>IF(OR($B23="",$B23&gt;$C$15),"",ROUND(MAX($H23,0)/MAX(SUMPRODUCT(($B$21:$B$46&lt;=$C$15)*($B$21:$B$46&lt;&gt;"")*(ROW($B$21:$B$46)&gt;=ROW())),1),2))</f>
        <v/>
      </c>
      <c r="D23" s="5" t="n"/>
      <c r="E23" s="14">
        <f>IF($B23="","",$C$12+SUM($D$21:$D23))</f>
        <v/>
      </c>
      <c r="F23" s="14">
        <f>IF($B23="","",MAX($C$11-$E23,0))</f>
        <v/>
      </c>
      <c r="G23" s="12">
        <f>IF($B23="","",IF($B23&gt;$C$15,"After save-by date",IF($E23&gt;=$C$11,"Goal reached",IF($D23="","To do","Saved"))))</f>
        <v/>
      </c>
      <c r="H23" s="15">
        <f>IF(OR($B22="",$B22&gt;$C$15),$H22,$H22-IF($D22="",$C22,$D22))</f>
        <v/>
      </c>
    </row>
    <row r="24">
      <c r="A24" s="12" t="n">
        <v>4</v>
      </c>
      <c r="B24" s="20">
        <f>IF(OR($C$13="",B23=""),"",IF($C$14="Weekly",B23+7,IF($C$14="Every 2 weeks",B23+14,EDATE($C$13,ROW()-21))))</f>
        <v/>
      </c>
      <c r="C24" s="14">
        <f>IF(OR($B24="",$B24&gt;$C$15),"",ROUND(MAX($H24,0)/MAX(SUMPRODUCT(($B$21:$B$46&lt;=$C$15)*($B$21:$B$46&lt;&gt;"")*(ROW($B$21:$B$46)&gt;=ROW())),1),2))</f>
        <v/>
      </c>
      <c r="D24" s="5" t="n"/>
      <c r="E24" s="14">
        <f>IF($B24="","",$C$12+SUM($D$21:$D24))</f>
        <v/>
      </c>
      <c r="F24" s="14">
        <f>IF($B24="","",MAX($C$11-$E24,0))</f>
        <v/>
      </c>
      <c r="G24" s="12">
        <f>IF($B24="","",IF($B24&gt;$C$15,"After save-by date",IF($E24&gt;=$C$11,"Goal reached",IF($D24="","To do","Saved"))))</f>
        <v/>
      </c>
      <c r="H24" s="15">
        <f>IF(OR($B23="",$B23&gt;$C$15),$H23,$H23-IF($D23="",$C23,$D23))</f>
        <v/>
      </c>
    </row>
    <row r="25">
      <c r="A25" s="12" t="n">
        <v>5</v>
      </c>
      <c r="B25" s="20">
        <f>IF(OR($C$13="",B24=""),"",IF($C$14="Weekly",B24+7,IF($C$14="Every 2 weeks",B24+14,EDATE($C$13,ROW()-21))))</f>
        <v/>
      </c>
      <c r="C25" s="14">
        <f>IF(OR($B25="",$B25&gt;$C$15),"",ROUND(MAX($H25,0)/MAX(SUMPRODUCT(($B$21:$B$46&lt;=$C$15)*($B$21:$B$46&lt;&gt;"")*(ROW($B$21:$B$46)&gt;=ROW())),1),2))</f>
        <v/>
      </c>
      <c r="D25" s="5" t="n"/>
      <c r="E25" s="14">
        <f>IF($B25="","",$C$12+SUM($D$21:$D25))</f>
        <v/>
      </c>
      <c r="F25" s="14">
        <f>IF($B25="","",MAX($C$11-$E25,0))</f>
        <v/>
      </c>
      <c r="G25" s="12">
        <f>IF($B25="","",IF($B25&gt;$C$15,"After save-by date",IF($E25&gt;=$C$11,"Goal reached",IF($D25="","To do","Saved"))))</f>
        <v/>
      </c>
      <c r="H25" s="15">
        <f>IF(OR($B24="",$B24&gt;$C$15),$H24,$H24-IF($D24="",$C24,$D24))</f>
        <v/>
      </c>
    </row>
    <row r="26">
      <c r="A26" s="12" t="n">
        <v>6</v>
      </c>
      <c r="B26" s="20">
        <f>IF(OR($C$13="",B25=""),"",IF($C$14="Weekly",B25+7,IF($C$14="Every 2 weeks",B25+14,EDATE($C$13,ROW()-21))))</f>
        <v/>
      </c>
      <c r="C26" s="14">
        <f>IF(OR($B26="",$B26&gt;$C$15),"",ROUND(MAX($H26,0)/MAX(SUMPRODUCT(($B$21:$B$46&lt;=$C$15)*($B$21:$B$46&lt;&gt;"")*(ROW($B$21:$B$46)&gt;=ROW())),1),2))</f>
        <v/>
      </c>
      <c r="D26" s="5" t="n"/>
      <c r="E26" s="14">
        <f>IF($B26="","",$C$12+SUM($D$21:$D26))</f>
        <v/>
      </c>
      <c r="F26" s="14">
        <f>IF($B26="","",MAX($C$11-$E26,0))</f>
        <v/>
      </c>
      <c r="G26" s="12">
        <f>IF($B26="","",IF($B26&gt;$C$15,"After save-by date",IF($E26&gt;=$C$11,"Goal reached",IF($D26="","To do","Saved"))))</f>
        <v/>
      </c>
      <c r="H26" s="15">
        <f>IF(OR($B25="",$B25&gt;$C$15),$H25,$H25-IF($D25="",$C25,$D25))</f>
        <v/>
      </c>
    </row>
    <row r="27">
      <c r="A27" s="12" t="n">
        <v>7</v>
      </c>
      <c r="B27" s="20">
        <f>IF(OR($C$13="",B26=""),"",IF($C$14="Weekly",B26+7,IF($C$14="Every 2 weeks",B26+14,EDATE($C$13,ROW()-21))))</f>
        <v/>
      </c>
      <c r="C27" s="14">
        <f>IF(OR($B27="",$B27&gt;$C$15),"",ROUND(MAX($H27,0)/MAX(SUMPRODUCT(($B$21:$B$46&lt;=$C$15)*($B$21:$B$46&lt;&gt;"")*(ROW($B$21:$B$46)&gt;=ROW())),1),2))</f>
        <v/>
      </c>
      <c r="D27" s="5" t="n"/>
      <c r="E27" s="14">
        <f>IF($B27="","",$C$12+SUM($D$21:$D27))</f>
        <v/>
      </c>
      <c r="F27" s="14">
        <f>IF($B27="","",MAX($C$11-$E27,0))</f>
        <v/>
      </c>
      <c r="G27" s="12">
        <f>IF($B27="","",IF($B27&gt;$C$15,"After save-by date",IF($E27&gt;=$C$11,"Goal reached",IF($D27="","To do","Saved"))))</f>
        <v/>
      </c>
      <c r="H27" s="15">
        <f>IF(OR($B26="",$B26&gt;$C$15),$H26,$H26-IF($D26="",$C26,$D26))</f>
        <v/>
      </c>
    </row>
    <row r="28">
      <c r="A28" s="12" t="n">
        <v>8</v>
      </c>
      <c r="B28" s="20">
        <f>IF(OR($C$13="",B27=""),"",IF($C$14="Weekly",B27+7,IF($C$14="Every 2 weeks",B27+14,EDATE($C$13,ROW()-21))))</f>
        <v/>
      </c>
      <c r="C28" s="14">
        <f>IF(OR($B28="",$B28&gt;$C$15),"",ROUND(MAX($H28,0)/MAX(SUMPRODUCT(($B$21:$B$46&lt;=$C$15)*($B$21:$B$46&lt;&gt;"")*(ROW($B$21:$B$46)&gt;=ROW())),1),2))</f>
        <v/>
      </c>
      <c r="D28" s="5" t="n"/>
      <c r="E28" s="14">
        <f>IF($B28="","",$C$12+SUM($D$21:$D28))</f>
        <v/>
      </c>
      <c r="F28" s="14">
        <f>IF($B28="","",MAX($C$11-$E28,0))</f>
        <v/>
      </c>
      <c r="G28" s="12">
        <f>IF($B28="","",IF($B28&gt;$C$15,"After save-by date",IF($E28&gt;=$C$11,"Goal reached",IF($D28="","To do","Saved"))))</f>
        <v/>
      </c>
      <c r="H28" s="15">
        <f>IF(OR($B27="",$B27&gt;$C$15),$H27,$H27-IF($D27="",$C27,$D27))</f>
        <v/>
      </c>
    </row>
    <row r="29">
      <c r="A29" s="12" t="n">
        <v>9</v>
      </c>
      <c r="B29" s="20">
        <f>IF(OR($C$13="",B28=""),"",IF($C$14="Weekly",B28+7,IF($C$14="Every 2 weeks",B28+14,EDATE($C$13,ROW()-21))))</f>
        <v/>
      </c>
      <c r="C29" s="14">
        <f>IF(OR($B29="",$B29&gt;$C$15),"",ROUND(MAX($H29,0)/MAX(SUMPRODUCT(($B$21:$B$46&lt;=$C$15)*($B$21:$B$46&lt;&gt;"")*(ROW($B$21:$B$46)&gt;=ROW())),1),2))</f>
        <v/>
      </c>
      <c r="D29" s="5" t="n"/>
      <c r="E29" s="14">
        <f>IF($B29="","",$C$12+SUM($D$21:$D29))</f>
        <v/>
      </c>
      <c r="F29" s="14">
        <f>IF($B29="","",MAX($C$11-$E29,0))</f>
        <v/>
      </c>
      <c r="G29" s="12">
        <f>IF($B29="","",IF($B29&gt;$C$15,"After save-by date",IF($E29&gt;=$C$11,"Goal reached",IF($D29="","To do","Saved"))))</f>
        <v/>
      </c>
      <c r="H29" s="15">
        <f>IF(OR($B28="",$B28&gt;$C$15),$H28,$H28-IF($D28="",$C28,$D28))</f>
        <v/>
      </c>
    </row>
    <row r="30">
      <c r="A30" s="12" t="n">
        <v>10</v>
      </c>
      <c r="B30" s="20">
        <f>IF(OR($C$13="",B29=""),"",IF($C$14="Weekly",B29+7,IF($C$14="Every 2 weeks",B29+14,EDATE($C$13,ROW()-21))))</f>
        <v/>
      </c>
      <c r="C30" s="14">
        <f>IF(OR($B30="",$B30&gt;$C$15),"",ROUND(MAX($H30,0)/MAX(SUMPRODUCT(($B$21:$B$46&lt;=$C$15)*($B$21:$B$46&lt;&gt;"")*(ROW($B$21:$B$46)&gt;=ROW())),1),2))</f>
        <v/>
      </c>
      <c r="D30" s="5" t="n"/>
      <c r="E30" s="14">
        <f>IF($B30="","",$C$12+SUM($D$21:$D30))</f>
        <v/>
      </c>
      <c r="F30" s="14">
        <f>IF($B30="","",MAX($C$11-$E30,0))</f>
        <v/>
      </c>
      <c r="G30" s="12">
        <f>IF($B30="","",IF($B30&gt;$C$15,"After save-by date",IF($E30&gt;=$C$11,"Goal reached",IF($D30="","To do","Saved"))))</f>
        <v/>
      </c>
      <c r="H30" s="15">
        <f>IF(OR($B29="",$B29&gt;$C$15),$H29,$H29-IF($D29="",$C29,$D29))</f>
        <v/>
      </c>
    </row>
    <row r="31">
      <c r="A31" s="12" t="n">
        <v>11</v>
      </c>
      <c r="B31" s="20">
        <f>IF(OR($C$13="",B30=""),"",IF($C$14="Weekly",B30+7,IF($C$14="Every 2 weeks",B30+14,EDATE($C$13,ROW()-21))))</f>
        <v/>
      </c>
      <c r="C31" s="14">
        <f>IF(OR($B31="",$B31&gt;$C$15),"",ROUND(MAX($H31,0)/MAX(SUMPRODUCT(($B$21:$B$46&lt;=$C$15)*($B$21:$B$46&lt;&gt;"")*(ROW($B$21:$B$46)&gt;=ROW())),1),2))</f>
        <v/>
      </c>
      <c r="D31" s="5" t="n"/>
      <c r="E31" s="14">
        <f>IF($B31="","",$C$12+SUM($D$21:$D31))</f>
        <v/>
      </c>
      <c r="F31" s="14">
        <f>IF($B31="","",MAX($C$11-$E31,0))</f>
        <v/>
      </c>
      <c r="G31" s="12">
        <f>IF($B31="","",IF($B31&gt;$C$15,"After save-by date",IF($E31&gt;=$C$11,"Goal reached",IF($D31="","To do","Saved"))))</f>
        <v/>
      </c>
      <c r="H31" s="15">
        <f>IF(OR($B30="",$B30&gt;$C$15),$H30,$H30-IF($D30="",$C30,$D30))</f>
        <v/>
      </c>
    </row>
    <row r="32">
      <c r="A32" s="12" t="n">
        <v>12</v>
      </c>
      <c r="B32" s="20">
        <f>IF(OR($C$13="",B31=""),"",IF($C$14="Weekly",B31+7,IF($C$14="Every 2 weeks",B31+14,EDATE($C$13,ROW()-21))))</f>
        <v/>
      </c>
      <c r="C32" s="14">
        <f>IF(OR($B32="",$B32&gt;$C$15),"",ROUND(MAX($H32,0)/MAX(SUMPRODUCT(($B$21:$B$46&lt;=$C$15)*($B$21:$B$46&lt;&gt;"")*(ROW($B$21:$B$46)&gt;=ROW())),1),2))</f>
        <v/>
      </c>
      <c r="D32" s="5" t="n"/>
      <c r="E32" s="14">
        <f>IF($B32="","",$C$12+SUM($D$21:$D32))</f>
        <v/>
      </c>
      <c r="F32" s="14">
        <f>IF($B32="","",MAX($C$11-$E32,0))</f>
        <v/>
      </c>
      <c r="G32" s="12">
        <f>IF($B32="","",IF($B32&gt;$C$15,"After save-by date",IF($E32&gt;=$C$11,"Goal reached",IF($D32="","To do","Saved"))))</f>
        <v/>
      </c>
      <c r="H32" s="15">
        <f>IF(OR($B31="",$B31&gt;$C$15),$H31,$H31-IF($D31="",$C31,$D31))</f>
        <v/>
      </c>
    </row>
    <row r="33">
      <c r="A33" s="12" t="n">
        <v>13</v>
      </c>
      <c r="B33" s="20">
        <f>IF(OR($C$13="",B32=""),"",IF($C$14="Weekly",B32+7,IF($C$14="Every 2 weeks",B32+14,EDATE($C$13,ROW()-21))))</f>
        <v/>
      </c>
      <c r="C33" s="14">
        <f>IF(OR($B33="",$B33&gt;$C$15),"",ROUND(MAX($H33,0)/MAX(SUMPRODUCT(($B$21:$B$46&lt;=$C$15)*($B$21:$B$46&lt;&gt;"")*(ROW($B$21:$B$46)&gt;=ROW())),1),2))</f>
        <v/>
      </c>
      <c r="D33" s="5" t="n"/>
      <c r="E33" s="14">
        <f>IF($B33="","",$C$12+SUM($D$21:$D33))</f>
        <v/>
      </c>
      <c r="F33" s="14">
        <f>IF($B33="","",MAX($C$11-$E33,0))</f>
        <v/>
      </c>
      <c r="G33" s="12">
        <f>IF($B33="","",IF($B33&gt;$C$15,"After save-by date",IF($E33&gt;=$C$11,"Goal reached",IF($D33="","To do","Saved"))))</f>
        <v/>
      </c>
      <c r="H33" s="15">
        <f>IF(OR($B32="",$B32&gt;$C$15),$H32,$H32-IF($D32="",$C32,$D32))</f>
        <v/>
      </c>
    </row>
    <row r="34">
      <c r="A34" s="12" t="n">
        <v>14</v>
      </c>
      <c r="B34" s="20">
        <f>IF(OR($C$13="",B33=""),"",IF($C$14="Weekly",B33+7,IF($C$14="Every 2 weeks",B33+14,EDATE($C$13,ROW()-21))))</f>
        <v/>
      </c>
      <c r="C34" s="14">
        <f>IF(OR($B34="",$B34&gt;$C$15),"",ROUND(MAX($H34,0)/MAX(SUMPRODUCT(($B$21:$B$46&lt;=$C$15)*($B$21:$B$46&lt;&gt;"")*(ROW($B$21:$B$46)&gt;=ROW())),1),2))</f>
        <v/>
      </c>
      <c r="D34" s="5" t="n"/>
      <c r="E34" s="14">
        <f>IF($B34="","",$C$12+SUM($D$21:$D34))</f>
        <v/>
      </c>
      <c r="F34" s="14">
        <f>IF($B34="","",MAX($C$11-$E34,0))</f>
        <v/>
      </c>
      <c r="G34" s="12">
        <f>IF($B34="","",IF($B34&gt;$C$15,"After save-by date",IF($E34&gt;=$C$11,"Goal reached",IF($D34="","To do","Saved"))))</f>
        <v/>
      </c>
      <c r="H34" s="15">
        <f>IF(OR($B33="",$B33&gt;$C$15),$H33,$H33-IF($D33="",$C33,$D33))</f>
        <v/>
      </c>
    </row>
    <row r="35">
      <c r="A35" s="12" t="n">
        <v>15</v>
      </c>
      <c r="B35" s="20">
        <f>IF(OR($C$13="",B34=""),"",IF($C$14="Weekly",B34+7,IF($C$14="Every 2 weeks",B34+14,EDATE($C$13,ROW()-21))))</f>
        <v/>
      </c>
      <c r="C35" s="14">
        <f>IF(OR($B35="",$B35&gt;$C$15),"",ROUND(MAX($H35,0)/MAX(SUMPRODUCT(($B$21:$B$46&lt;=$C$15)*($B$21:$B$46&lt;&gt;"")*(ROW($B$21:$B$46)&gt;=ROW())),1),2))</f>
        <v/>
      </c>
      <c r="D35" s="5" t="n"/>
      <c r="E35" s="14">
        <f>IF($B35="","",$C$12+SUM($D$21:$D35))</f>
        <v/>
      </c>
      <c r="F35" s="14">
        <f>IF($B35="","",MAX($C$11-$E35,0))</f>
        <v/>
      </c>
      <c r="G35" s="12">
        <f>IF($B35="","",IF($B35&gt;$C$15,"After save-by date",IF($E35&gt;=$C$11,"Goal reached",IF($D35="","To do","Saved"))))</f>
        <v/>
      </c>
      <c r="H35" s="15">
        <f>IF(OR($B34="",$B34&gt;$C$15),$H34,$H34-IF($D34="",$C34,$D34))</f>
        <v/>
      </c>
    </row>
    <row r="36">
      <c r="A36" s="12" t="n">
        <v>16</v>
      </c>
      <c r="B36" s="20">
        <f>IF(OR($C$13="",B35=""),"",IF($C$14="Weekly",B35+7,IF($C$14="Every 2 weeks",B35+14,EDATE($C$13,ROW()-21))))</f>
        <v/>
      </c>
      <c r="C36" s="14">
        <f>IF(OR($B36="",$B36&gt;$C$15),"",ROUND(MAX($H36,0)/MAX(SUMPRODUCT(($B$21:$B$46&lt;=$C$15)*($B$21:$B$46&lt;&gt;"")*(ROW($B$21:$B$46)&gt;=ROW())),1),2))</f>
        <v/>
      </c>
      <c r="D36" s="5" t="n"/>
      <c r="E36" s="14">
        <f>IF($B36="","",$C$12+SUM($D$21:$D36))</f>
        <v/>
      </c>
      <c r="F36" s="14">
        <f>IF($B36="","",MAX($C$11-$E36,0))</f>
        <v/>
      </c>
      <c r="G36" s="12">
        <f>IF($B36="","",IF($B36&gt;$C$15,"After save-by date",IF($E36&gt;=$C$11,"Goal reached",IF($D36="","To do","Saved"))))</f>
        <v/>
      </c>
      <c r="H36" s="15">
        <f>IF(OR($B35="",$B35&gt;$C$15),$H35,$H35-IF($D35="",$C35,$D35))</f>
        <v/>
      </c>
    </row>
    <row r="37">
      <c r="A37" s="12" t="n">
        <v>17</v>
      </c>
      <c r="B37" s="20">
        <f>IF(OR($C$13="",B36=""),"",IF($C$14="Weekly",B36+7,IF($C$14="Every 2 weeks",B36+14,EDATE($C$13,ROW()-21))))</f>
        <v/>
      </c>
      <c r="C37" s="14">
        <f>IF(OR($B37="",$B37&gt;$C$15),"",ROUND(MAX($H37,0)/MAX(SUMPRODUCT(($B$21:$B$46&lt;=$C$15)*($B$21:$B$46&lt;&gt;"")*(ROW($B$21:$B$46)&gt;=ROW())),1),2))</f>
        <v/>
      </c>
      <c r="D37" s="5" t="n"/>
      <c r="E37" s="14">
        <f>IF($B37="","",$C$12+SUM($D$21:$D37))</f>
        <v/>
      </c>
      <c r="F37" s="14">
        <f>IF($B37="","",MAX($C$11-$E37,0))</f>
        <v/>
      </c>
      <c r="G37" s="12">
        <f>IF($B37="","",IF($B37&gt;$C$15,"After save-by date",IF($E37&gt;=$C$11,"Goal reached",IF($D37="","To do","Saved"))))</f>
        <v/>
      </c>
      <c r="H37" s="15">
        <f>IF(OR($B36="",$B36&gt;$C$15),$H36,$H36-IF($D36="",$C36,$D36))</f>
        <v/>
      </c>
    </row>
    <row r="38">
      <c r="A38" s="12" t="n">
        <v>18</v>
      </c>
      <c r="B38" s="20">
        <f>IF(OR($C$13="",B37=""),"",IF($C$14="Weekly",B37+7,IF($C$14="Every 2 weeks",B37+14,EDATE($C$13,ROW()-21))))</f>
        <v/>
      </c>
      <c r="C38" s="14">
        <f>IF(OR($B38="",$B38&gt;$C$15),"",ROUND(MAX($H38,0)/MAX(SUMPRODUCT(($B$21:$B$46&lt;=$C$15)*($B$21:$B$46&lt;&gt;"")*(ROW($B$21:$B$46)&gt;=ROW())),1),2))</f>
        <v/>
      </c>
      <c r="D38" s="5" t="n"/>
      <c r="E38" s="14">
        <f>IF($B38="","",$C$12+SUM($D$21:$D38))</f>
        <v/>
      </c>
      <c r="F38" s="14">
        <f>IF($B38="","",MAX($C$11-$E38,0))</f>
        <v/>
      </c>
      <c r="G38" s="12">
        <f>IF($B38="","",IF($B38&gt;$C$15,"After save-by date",IF($E38&gt;=$C$11,"Goal reached",IF($D38="","To do","Saved"))))</f>
        <v/>
      </c>
      <c r="H38" s="15">
        <f>IF(OR($B37="",$B37&gt;$C$15),$H37,$H37-IF($D37="",$C37,$D37))</f>
        <v/>
      </c>
    </row>
    <row r="39">
      <c r="A39" s="12" t="n">
        <v>19</v>
      </c>
      <c r="B39" s="20">
        <f>IF(OR($C$13="",B38=""),"",IF($C$14="Weekly",B38+7,IF($C$14="Every 2 weeks",B38+14,EDATE($C$13,ROW()-21))))</f>
        <v/>
      </c>
      <c r="C39" s="14">
        <f>IF(OR($B39="",$B39&gt;$C$15),"",ROUND(MAX($H39,0)/MAX(SUMPRODUCT(($B$21:$B$46&lt;=$C$15)*($B$21:$B$46&lt;&gt;"")*(ROW($B$21:$B$46)&gt;=ROW())),1),2))</f>
        <v/>
      </c>
      <c r="D39" s="5" t="n"/>
      <c r="E39" s="14">
        <f>IF($B39="","",$C$12+SUM($D$21:$D39))</f>
        <v/>
      </c>
      <c r="F39" s="14">
        <f>IF($B39="","",MAX($C$11-$E39,0))</f>
        <v/>
      </c>
      <c r="G39" s="12">
        <f>IF($B39="","",IF($B39&gt;$C$15,"After save-by date",IF($E39&gt;=$C$11,"Goal reached",IF($D39="","To do","Saved"))))</f>
        <v/>
      </c>
      <c r="H39" s="15">
        <f>IF(OR($B38="",$B38&gt;$C$15),$H38,$H38-IF($D38="",$C38,$D38))</f>
        <v/>
      </c>
    </row>
    <row r="40">
      <c r="A40" s="12" t="n">
        <v>20</v>
      </c>
      <c r="B40" s="20">
        <f>IF(OR($C$13="",B39=""),"",IF($C$14="Weekly",B39+7,IF($C$14="Every 2 weeks",B39+14,EDATE($C$13,ROW()-21))))</f>
        <v/>
      </c>
      <c r="C40" s="14">
        <f>IF(OR($B40="",$B40&gt;$C$15),"",ROUND(MAX($H40,0)/MAX(SUMPRODUCT(($B$21:$B$46&lt;=$C$15)*($B$21:$B$46&lt;&gt;"")*(ROW($B$21:$B$46)&gt;=ROW())),1),2))</f>
        <v/>
      </c>
      <c r="D40" s="5" t="n"/>
      <c r="E40" s="14">
        <f>IF($B40="","",$C$12+SUM($D$21:$D40))</f>
        <v/>
      </c>
      <c r="F40" s="14">
        <f>IF($B40="","",MAX($C$11-$E40,0))</f>
        <v/>
      </c>
      <c r="G40" s="12">
        <f>IF($B40="","",IF($B40&gt;$C$15,"After save-by date",IF($E40&gt;=$C$11,"Goal reached",IF($D40="","To do","Saved"))))</f>
        <v/>
      </c>
      <c r="H40" s="15">
        <f>IF(OR($B39="",$B39&gt;$C$15),$H39,$H39-IF($D39="",$C39,$D39))</f>
        <v/>
      </c>
    </row>
    <row r="41">
      <c r="A41" s="12" t="n">
        <v>21</v>
      </c>
      <c r="B41" s="20">
        <f>IF(OR($C$13="",B40=""),"",IF($C$14="Weekly",B40+7,IF($C$14="Every 2 weeks",B40+14,EDATE($C$13,ROW()-21))))</f>
        <v/>
      </c>
      <c r="C41" s="14">
        <f>IF(OR($B41="",$B41&gt;$C$15),"",ROUND(MAX($H41,0)/MAX(SUMPRODUCT(($B$21:$B$46&lt;=$C$15)*($B$21:$B$46&lt;&gt;"")*(ROW($B$21:$B$46)&gt;=ROW())),1),2))</f>
        <v/>
      </c>
      <c r="D41" s="5" t="n"/>
      <c r="E41" s="14">
        <f>IF($B41="","",$C$12+SUM($D$21:$D41))</f>
        <v/>
      </c>
      <c r="F41" s="14">
        <f>IF($B41="","",MAX($C$11-$E41,0))</f>
        <v/>
      </c>
      <c r="G41" s="12">
        <f>IF($B41="","",IF($B41&gt;$C$15,"After save-by date",IF($E41&gt;=$C$11,"Goal reached",IF($D41="","To do","Saved"))))</f>
        <v/>
      </c>
      <c r="H41" s="15">
        <f>IF(OR($B40="",$B40&gt;$C$15),$H40,$H40-IF($D40="",$C40,$D40))</f>
        <v/>
      </c>
    </row>
    <row r="42">
      <c r="A42" s="12" t="n">
        <v>22</v>
      </c>
      <c r="B42" s="20">
        <f>IF(OR($C$13="",B41=""),"",IF($C$14="Weekly",B41+7,IF($C$14="Every 2 weeks",B41+14,EDATE($C$13,ROW()-21))))</f>
        <v/>
      </c>
      <c r="C42" s="14">
        <f>IF(OR($B42="",$B42&gt;$C$15),"",ROUND(MAX($H42,0)/MAX(SUMPRODUCT(($B$21:$B$46&lt;=$C$15)*($B$21:$B$46&lt;&gt;"")*(ROW($B$21:$B$46)&gt;=ROW())),1),2))</f>
        <v/>
      </c>
      <c r="D42" s="5" t="n"/>
      <c r="E42" s="14">
        <f>IF($B42="","",$C$12+SUM($D$21:$D42))</f>
        <v/>
      </c>
      <c r="F42" s="14">
        <f>IF($B42="","",MAX($C$11-$E42,0))</f>
        <v/>
      </c>
      <c r="G42" s="12">
        <f>IF($B42="","",IF($B42&gt;$C$15,"After save-by date",IF($E42&gt;=$C$11,"Goal reached",IF($D42="","To do","Saved"))))</f>
        <v/>
      </c>
      <c r="H42" s="15">
        <f>IF(OR($B41="",$B41&gt;$C$15),$H41,$H41-IF($D41="",$C41,$D41))</f>
        <v/>
      </c>
    </row>
    <row r="43">
      <c r="A43" s="12" t="n">
        <v>23</v>
      </c>
      <c r="B43" s="20">
        <f>IF(OR($C$13="",B42=""),"",IF($C$14="Weekly",B42+7,IF($C$14="Every 2 weeks",B42+14,EDATE($C$13,ROW()-21))))</f>
        <v/>
      </c>
      <c r="C43" s="14">
        <f>IF(OR($B43="",$B43&gt;$C$15),"",ROUND(MAX($H43,0)/MAX(SUMPRODUCT(($B$21:$B$46&lt;=$C$15)*($B$21:$B$46&lt;&gt;"")*(ROW($B$21:$B$46)&gt;=ROW())),1),2))</f>
        <v/>
      </c>
      <c r="D43" s="5" t="n"/>
      <c r="E43" s="14">
        <f>IF($B43="","",$C$12+SUM($D$21:$D43))</f>
        <v/>
      </c>
      <c r="F43" s="14">
        <f>IF($B43="","",MAX($C$11-$E43,0))</f>
        <v/>
      </c>
      <c r="G43" s="12">
        <f>IF($B43="","",IF($B43&gt;$C$15,"After save-by date",IF($E43&gt;=$C$11,"Goal reached",IF($D43="","To do","Saved"))))</f>
        <v/>
      </c>
      <c r="H43" s="15">
        <f>IF(OR($B42="",$B42&gt;$C$15),$H42,$H42-IF($D42="",$C42,$D42))</f>
        <v/>
      </c>
    </row>
    <row r="44">
      <c r="A44" s="12" t="n">
        <v>24</v>
      </c>
      <c r="B44" s="20">
        <f>IF(OR($C$13="",B43=""),"",IF($C$14="Weekly",B43+7,IF($C$14="Every 2 weeks",B43+14,EDATE($C$13,ROW()-21))))</f>
        <v/>
      </c>
      <c r="C44" s="14">
        <f>IF(OR($B44="",$B44&gt;$C$15),"",ROUND(MAX($H44,0)/MAX(SUMPRODUCT(($B$21:$B$46&lt;=$C$15)*($B$21:$B$46&lt;&gt;"")*(ROW($B$21:$B$46)&gt;=ROW())),1),2))</f>
        <v/>
      </c>
      <c r="D44" s="5" t="n"/>
      <c r="E44" s="14">
        <f>IF($B44="","",$C$12+SUM($D$21:$D44))</f>
        <v/>
      </c>
      <c r="F44" s="14">
        <f>IF($B44="","",MAX($C$11-$E44,0))</f>
        <v/>
      </c>
      <c r="G44" s="12">
        <f>IF($B44="","",IF($B44&gt;$C$15,"After save-by date",IF($E44&gt;=$C$11,"Goal reached",IF($D44="","To do","Saved"))))</f>
        <v/>
      </c>
      <c r="H44" s="15">
        <f>IF(OR($B43="",$B43&gt;$C$15),$H43,$H43-IF($D43="",$C43,$D43))</f>
        <v/>
      </c>
    </row>
    <row r="45">
      <c r="A45" s="12" t="n">
        <v>25</v>
      </c>
      <c r="B45" s="20">
        <f>IF(OR($C$13="",B44=""),"",IF($C$14="Weekly",B44+7,IF($C$14="Every 2 weeks",B44+14,EDATE($C$13,ROW()-21))))</f>
        <v/>
      </c>
      <c r="C45" s="14">
        <f>IF(OR($B45="",$B45&gt;$C$15),"",ROUND(MAX($H45,0)/MAX(SUMPRODUCT(($B$21:$B$46&lt;=$C$15)*($B$21:$B$46&lt;&gt;"")*(ROW($B$21:$B$46)&gt;=ROW())),1),2))</f>
        <v/>
      </c>
      <c r="D45" s="5" t="n"/>
      <c r="E45" s="14">
        <f>IF($B45="","",$C$12+SUM($D$21:$D45))</f>
        <v/>
      </c>
      <c r="F45" s="14">
        <f>IF($B45="","",MAX($C$11-$E45,0))</f>
        <v/>
      </c>
      <c r="G45" s="12">
        <f>IF($B45="","",IF($B45&gt;$C$15,"After save-by date",IF($E45&gt;=$C$11,"Goal reached",IF($D45="","To do","Saved"))))</f>
        <v/>
      </c>
      <c r="H45" s="15">
        <f>IF(OR($B44="",$B44&gt;$C$15),$H44,$H44-IF($D44="",$C44,$D44))</f>
        <v/>
      </c>
    </row>
    <row r="46">
      <c r="A46" s="12" t="n">
        <v>26</v>
      </c>
      <c r="B46" s="20">
        <f>IF(OR($C$13="",B45=""),"",IF($C$14="Weekly",B45+7,IF($C$14="Every 2 weeks",B45+14,EDATE($C$13,ROW()-21))))</f>
        <v/>
      </c>
      <c r="C46" s="14">
        <f>IF(OR($B46="",$B46&gt;$C$15),"",ROUND(MAX($H46,0)/MAX(SUMPRODUCT(($B$21:$B$46&lt;=$C$15)*($B$21:$B$46&lt;&gt;"")*(ROW($B$21:$B$46)&gt;=ROW())),1),2))</f>
        <v/>
      </c>
      <c r="D46" s="5" t="n"/>
      <c r="E46" s="14">
        <f>IF($B46="","",$C$12+SUM($D$21:$D46))</f>
        <v/>
      </c>
      <c r="F46" s="14">
        <f>IF($B46="","",MAX($C$11-$E46,0))</f>
        <v/>
      </c>
      <c r="G46" s="12">
        <f>IF($B46="","",IF($B46&gt;$C$15,"After save-by date",IF($E46&gt;=$C$11,"Goal reached",IF($D46="","To do","Saved"))))</f>
        <v/>
      </c>
      <c r="H46" s="15">
        <f>IF(OR($B45="",$B45&gt;$C$15),$H45,$H45-IF($D45="",$C45,$D45))</f>
        <v/>
      </c>
    </row>
    <row r="48" ht="30" customHeight="1">
      <c r="A48" s="16" t="inlineStr">
        <is>
          <t>Amounts are rounded to the nearest cent. Because the plan re-splits after every payday, small rounding differences even out as you go — the last payday simply takes whatever is left.</t>
        </is>
      </c>
    </row>
    <row r="49" ht="30" customHeight="1">
      <c r="A49" s="16" t="inlineStr">
        <is>
          <t>Type numbers only in the blue “Actually saved” column, in payday order. Leave a payday blank until it happens; type 0 if a payday was missed completely.</t>
        </is>
      </c>
    </row>
    <row r="50" ht="30" customHeight="1">
      <c r="A50" s="16" t="inlineStr">
        <is>
          <t>The grey “Plan left” column is the plan’s own running total — it is what makes the “Set aside” amounts re-split themselves. You never need to type in it.</t>
        </is>
      </c>
    </row>
    <row r="51" ht="30" customHeight="1">
      <c r="A51" s="16" t="inlineStr">
        <is>
          <t>Monthly paydays fall on the same day each month; in a shorter month, that month’s payday is its last day.</t>
        </is>
      </c>
    </row>
  </sheetData>
  <mergeCells count="23">
    <mergeCell ref="A48:H48"/>
    <mergeCell ref="A15:B15"/>
    <mergeCell ref="A11:B11"/>
    <mergeCell ref="A51:H51"/>
    <mergeCell ref="A49:H49"/>
    <mergeCell ref="A1:H1"/>
    <mergeCell ref="A6:H6"/>
    <mergeCell ref="A7:H7"/>
    <mergeCell ref="D11:H11"/>
    <mergeCell ref="D13:H13"/>
    <mergeCell ref="A18:B18"/>
    <mergeCell ref="A12:B12"/>
    <mergeCell ref="A50:H50"/>
    <mergeCell ref="A2:H2"/>
    <mergeCell ref="A14:B14"/>
    <mergeCell ref="A5:H5"/>
    <mergeCell ref="A17:B17"/>
    <mergeCell ref="A8:H8"/>
    <mergeCell ref="D12:H12"/>
    <mergeCell ref="D15:H15"/>
    <mergeCell ref="A19:B19"/>
    <mergeCell ref="A13:B13"/>
    <mergeCell ref="D14:H14"/>
  </mergeCells>
  <dataValidations count="1">
    <dataValidation sqref="C14" showDropDown="0" showInputMessage="0" showErrorMessage="0" allowBlank="0" errorTitle="Pay frequency" error="Please choose Weekly, Every 2 weeks, or Monthly." promptTitle="Pay frequency" prompt="Choose how often you are paid." type="list">
      <formula1>"Weekly,Every 2 weeks,Monthly"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2026-10-23T15:54:08Z</dcterms:created>
  <dcterms:modified xmlns:dcterms="http://purl.org/dc/terms/" xmlns:xsi="http://www.w3.org/2001/XMLSchema-instance" xsi:type="dcterms:W3CDTF">2026-10-24T09:24:09+00:00Z</dcterms:modified>
</cp:coreProperties>
</file>