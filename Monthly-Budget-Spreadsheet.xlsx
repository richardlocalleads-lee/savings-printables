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Jan" sheetId="2" state="visible" r:id="rId2"/>
    <sheet xmlns:r="http://schemas.openxmlformats.org/officeDocument/2006/relationships" name="Feb" sheetId="3" state="visible" r:id="rId3"/>
    <sheet xmlns:r="http://schemas.openxmlformats.org/officeDocument/2006/relationships" name="Mar" sheetId="4" state="visible" r:id="rId4"/>
    <sheet xmlns:r="http://schemas.openxmlformats.org/officeDocument/2006/relationships" name="Apr" sheetId="5" state="visible" r:id="rId5"/>
    <sheet xmlns:r="http://schemas.openxmlformats.org/officeDocument/2006/relationships" name="May" sheetId="6" state="visible" r:id="rId6"/>
    <sheet xmlns:r="http://schemas.openxmlformats.org/officeDocument/2006/relationships" name="Jun" sheetId="7" state="visible" r:id="rId7"/>
    <sheet xmlns:r="http://schemas.openxmlformats.org/officeDocument/2006/relationships" name="Jul" sheetId="8" state="visible" r:id="rId8"/>
    <sheet xmlns:r="http://schemas.openxmlformats.org/officeDocument/2006/relationships" name="Aug" sheetId="9" state="visible" r:id="rId9"/>
    <sheet xmlns:r="http://schemas.openxmlformats.org/officeDocument/2006/relationships" name="Sep" sheetId="10" state="visible" r:id="rId10"/>
    <sheet xmlns:r="http://schemas.openxmlformats.org/officeDocument/2006/relationships" name="Oct" sheetId="11" state="visible" r:id="rId11"/>
    <sheet xmlns:r="http://schemas.openxmlformats.org/officeDocument/2006/relationships" name="Nov" sheetId="12" state="visible" r:id="rId12"/>
    <sheet xmlns:r="http://schemas.openxmlformats.org/officeDocument/2006/relationships" name="Dec" sheetId="13" state="visible" r:id="rId13"/>
    <sheet xmlns:r="http://schemas.openxmlformats.org/officeDocument/2006/relationships" name="Expense Log" sheetId="14" state="visible" r:id="rId14"/>
    <sheet xmlns:r="http://schemas.openxmlformats.org/officeDocument/2006/relationships" name="Debt Payoff" sheetId="15" state="visible" r:id="rId15"/>
    <sheet xmlns:r="http://schemas.openxmlformats.org/officeDocument/2006/relationships" name="Year at a Glance" sheetId="16" state="visible" r:id="rId16"/>
  </sheets>
  <definedNames/>
  <calcPr calcId="124519" fullCalcOnLoad="1"/>
</workbook>
</file>

<file path=xl/styles.xml><?xml version="1.0" encoding="utf-8"?>
<styleSheet xmlns="http://schemas.openxmlformats.org/spreadsheetml/2006/main">
  <numFmts count="3">
    <numFmt numFmtId="164" formatCode="&quot;$&quot;#,##0.00"/>
    <numFmt numFmtId="165" formatCode="0.0%"/>
    <numFmt numFmtId="166" formatCode="mmm d, yyyy"/>
  </numFmts>
  <fonts count="7">
    <font>
      <name val="Calibri"/>
      <family val="2"/>
      <color theme="1"/>
      <sz val="11"/>
      <scheme val="minor"/>
    </font>
    <font>
      <name val="Calibri"/>
      <b val="1"/>
      <color rgb="00111111"/>
      <sz val="16"/>
    </font>
    <font>
      <name val="Calibri"/>
      <color rgb="00111111"/>
      <sz val="11"/>
    </font>
    <font>
      <name val="Calibri"/>
      <b val="1"/>
      <color rgb="00111111"/>
      <sz val="11"/>
    </font>
    <font>
      <name val="Calibri"/>
      <b val="1"/>
      <color rgb="00111111"/>
      <sz val="14"/>
    </font>
    <font>
      <name val="Calibri"/>
      <i val="1"/>
      <color rgb="00555555"/>
      <sz val="10"/>
    </font>
    <font>
      <name val="Calibri"/>
      <color rgb="00555555"/>
      <sz val="10"/>
    </font>
  </fonts>
  <fills count="4">
    <fill>
      <patternFill/>
    </fill>
    <fill>
      <patternFill patternType="gray125"/>
    </fill>
    <fill>
      <patternFill patternType="solid">
        <fgColor rgb="00F2F2F2"/>
      </patternFill>
    </fill>
    <fill>
      <patternFill patternType="solid">
        <fgColor rgb="00D9E2F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3" fillId="2" borderId="1" pivotButton="0" quotePrefix="0" xfId="0"/>
    <xf numFmtId="0" fontId="0" fillId="2" borderId="1" pivotButton="0" quotePrefix="0" xfId="0"/>
    <xf numFmtId="0" fontId="6" fillId="2" borderId="1" pivotButton="0" quotePrefix="0" xfId="0"/>
    <xf numFmtId="0" fontId="2" fillId="3" borderId="1" pivotButton="0" quotePrefix="0" xfId="0"/>
    <xf numFmtId="0" fontId="0" fillId="0" borderId="1" pivotButton="0" quotePrefix="0" xfId="0"/>
    <xf numFmtId="164" fontId="2" fillId="3" borderId="1" pivotButton="0" quotePrefix="0" xfId="0"/>
    <xf numFmtId="0" fontId="3" fillId="0" borderId="1" pivotButton="0" quotePrefix="0" xfId="0"/>
    <xf numFmtId="164" fontId="3" fillId="0" borderId="1" pivotButton="0" quotePrefix="0" xfId="0"/>
    <xf numFmtId="1" fontId="0" fillId="3" borderId="1" pivotButton="0" quotePrefix="0" xfId="0"/>
    <xf numFmtId="165" fontId="3" fillId="0" borderId="1" pivotButton="0" quotePrefix="0" xfId="0"/>
    <xf numFmtId="166" fontId="2" fillId="3" borderId="1" pivotButton="0" quotePrefix="0" xfId="0"/>
    <xf numFmtId="0" fontId="6" fillId="0" borderId="1" pivotButton="0" quotePrefix="0" xfId="0"/>
    <xf numFmtId="0" fontId="2" fillId="0" borderId="1" pivotButton="0" quotePrefix="0" xfId="0"/>
    <xf numFmtId="164" fontId="2" fillId="0" borderId="1" pivotButton="0" quotePrefix="0" xfId="0"/>
    <xf numFmtId="0" fontId="3" fillId="2" borderId="1" applyAlignment="1" pivotButton="0" quotePrefix="0" xfId="0">
      <alignment vertical="top" wrapText="1"/>
    </xf>
    <xf numFmtId="10" fontId="2" fillId="3" borderId="1" pivotButton="0" quotePrefix="0" xfId="0"/>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32"/>
  <sheetViews>
    <sheetView workbookViewId="0">
      <selection activeCell="A1" sqref="A1"/>
    </sheetView>
  </sheetViews>
  <sheetFormatPr baseColWidth="8" defaultRowHeight="15"/>
  <cols>
    <col width="112" customWidth="1" min="1" max="1"/>
  </cols>
  <sheetData>
    <row r="1" ht="24" customHeight="1">
      <c r="A1" s="1" t="inlineStr">
        <is>
          <t>START HERE — Monthly Budget Spreadsheet</t>
        </is>
      </c>
    </row>
    <row r="3" ht="34" customHeight="1">
      <c r="A3" s="2" t="inlineStr">
        <is>
          <t>This is the spreadsheet twin of the Settled Days Monthly Budget Planner (print). Same pages, same order — but every page adds itself up, and the twelve month pages roll into one annual page for you.</t>
        </is>
      </c>
    </row>
    <row r="4" ht="18" customHeight="1">
      <c r="A4" s="3" t="inlineStr">
        <is>
          <t>FIRST, MAKE YOUR OWN COPY</t>
        </is>
      </c>
    </row>
    <row r="6" ht="34" customHeight="1">
      <c r="A6" s="2" t="inlineStr">
        <is>
          <t>Google Sheets: use the ready-made copy link in the Start Here PDF from your download, then click "Make a copy". The copy lands in your own Google Drive, fully editable.</t>
        </is>
      </c>
    </row>
    <row r="7" ht="18.5" customHeight="1">
      <c r="A7" s="2" t="inlineStr">
        <is>
          <t>Opened this file from Drive instead? File &gt; Make a copy does the same thing.</t>
        </is>
      </c>
    </row>
    <row r="8" ht="34" customHeight="1">
      <c r="A8" s="2" t="inlineStr">
        <is>
          <t>Excel: the .xlsx file in your download is already yours. If Excel says "Protected View", click "Enable Editing" at the top and start typing.</t>
        </is>
      </c>
    </row>
    <row r="9" ht="18" customHeight="1">
      <c r="A9" s="3" t="inlineStr">
        <is>
          <t>START WITH THREE PAGES (THE REST IS THERE WHEN YOU NEED IT)</t>
        </is>
      </c>
    </row>
    <row r="11" ht="49.5" customHeight="1">
      <c r="A11" s="2" t="inlineStr">
        <is>
          <t>1. THIS MONTH'S PAGE — open the tab for the current month (Jan, Feb, …). Type your income, your bills and what you spend in the light-blue cells. The grey totals — income, out, saved, left over — add themselves up.</t>
        </is>
      </c>
    </row>
    <row r="12" ht="34" customHeight="1">
      <c r="A12" s="2" t="inlineStr">
        <is>
          <t>2. EXPENSE LOG — one line per spend: date, what it was, category, amount. The log totals itself by month and by category at the bottom of the page.</t>
        </is>
      </c>
    </row>
    <row r="13" ht="34" customHeight="1">
      <c r="A13" s="2" t="inlineStr">
        <is>
          <t>3. YEAR AT A GLANCE — do not type here at all. It fills itself from the twelve month pages, so you can watch the year build up.</t>
        </is>
      </c>
    </row>
    <row r="14" ht="18" customHeight="1">
      <c r="A14" s="3" t="inlineStr">
        <is>
          <t>THE OTHER PAGE</t>
        </is>
      </c>
    </row>
    <row r="16" ht="49.5" customHeight="1">
      <c r="A16" s="2" t="inlineStr">
        <is>
          <t>DEBT PAYOFF — list each debt once: what you owed at the start, what you have paid so far, the APR and your monthly payment. The sheet works out what is left and an estimated number of months to clear it. Update "Paid so far" as you go.</t>
        </is>
      </c>
    </row>
    <row r="17" ht="18" customHeight="1">
      <c r="A17" s="3" t="inlineStr">
        <is>
          <t>WHICH CELLS DO I TYPE IN?</t>
        </is>
      </c>
    </row>
    <row r="19" ht="49.5" customHeight="1">
      <c r="A19" s="2" t="inlineStr">
        <is>
          <t>Light-blue cells only. Everything grey or white is a total or a label — the sheet does that maths for you. On the month pages you type amounts; on the Expense Log you type date, item, category and amount (the Month column fills itself); on Debt Payoff you type the first five columns.</t>
        </is>
      </c>
    </row>
    <row r="20" ht="18" customHeight="1">
      <c r="A20" s="3" t="inlineStr">
        <is>
          <t>A NEW YEAR</t>
        </is>
      </c>
    </row>
    <row r="22" ht="34" customHeight="1">
      <c r="A22" s="2" t="inlineStr">
        <is>
          <t>The month tabs are one year of months. When a new year starts, make a fresh copy of the blank file and start again — last year's copy stays as your record.</t>
        </is>
      </c>
    </row>
    <row r="23" ht="18" customHeight="1">
      <c r="A23" s="3" t="inlineStr">
        <is>
          <t>THREE QUESTIONS EVERYONE ASKS</t>
        </is>
      </c>
    </row>
    <row r="25" ht="18.5" customHeight="1">
      <c r="A25" s="2" t="inlineStr">
        <is>
          <t>Q: The Google Sheet says "view-only" — how do I get my own editable copy?</t>
        </is>
      </c>
    </row>
    <row r="26" ht="49.5" customHeight="1">
      <c r="A26" s="2" t="inlineStr">
        <is>
          <t>A: That view-only sheet is the shared master. Use the copy link in the Start Here PDF from your download: click it, press "Make a copy", and the sheet lands in your own Google Drive, fully editable. Prefer Excel? Download the .xlsx file instead and open it — that file is already yours, no copy step.</t>
        </is>
      </c>
    </row>
    <row r="27" ht="18.5" customHeight="1">
      <c r="A27" s="2" t="inlineStr">
        <is>
          <t>Q: How do I make it mine once I have the copy?</t>
        </is>
      </c>
    </row>
    <row r="28" ht="49.5" customHeight="1">
      <c r="A28" s="2" t="inlineStr">
        <is>
          <t>A: Open this month's tab and type in the light-blue cells: your income, each bill (with its due day), what you spend in each category, and what you save. Planned is what you intend, Actual is what really happened — the summary at the bottom shows both, plus what is left over. There is nothing else to set up.</t>
        </is>
      </c>
    </row>
    <row r="29" ht="18.5" customHeight="1">
      <c r="A29" s="2" t="inlineStr">
        <is>
          <t>Q: Can I use it on my phone?</t>
        </is>
      </c>
    </row>
    <row r="30" ht="49.5" customHeight="1">
      <c r="A30" s="2" t="inlineStr">
        <is>
          <t>A: Yes. Your copy opens in the free Google Sheets app, and the .xlsx opens in the free Excel app — same cells, same formulas, on phone, tablet or computer. You need a free Google account for the Sheets copy; no subscription and no other software for either route.</t>
        </is>
      </c>
    </row>
    <row r="31" ht="18.5" customHeight="1">
      <c r="A31" s="2" t="inlineStr">
        <is>
          <t>Stuck? Message us through Etsy and tell us which step you reached — we will get you unstuck.</t>
        </is>
      </c>
    </row>
    <row r="32" ht="18.5" customHeight="1">
      <c r="A32" s="2" t="inlineStr">
        <is>
          <t>Personal use only. Settled Days</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January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3.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February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March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5.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April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6.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May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7.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June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8.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July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9.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August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0.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September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1.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October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2.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November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3.xml><?xml version="1.0" encoding="utf-8"?>
<worksheet xmlns="http://schemas.openxmlformats.org/spreadsheetml/2006/main">
  <sheetPr>
    <outlinePr summaryBelow="1" summaryRight="1"/>
    <pageSetUpPr fitToPage="1"/>
  </sheetPr>
  <dimension ref="A1:D49"/>
  <sheetViews>
    <sheetView workbookViewId="0">
      <pane ySplit="2" topLeftCell="A3" activePane="bottomLeft" state="frozen"/>
      <selection pane="bottomLeft" activeCell="A1" sqref="A1"/>
    </sheetView>
  </sheetViews>
  <sheetFormatPr baseColWidth="8" defaultRowHeight="15"/>
  <cols>
    <col width="32" customWidth="1" min="1" max="1"/>
    <col width="10" customWidth="1" min="2" max="2"/>
    <col width="14" customWidth="1" min="3" max="3"/>
    <col width="14" customWidth="1" min="4" max="4"/>
  </cols>
  <sheetData>
    <row r="1">
      <c r="A1" s="4" t="inlineStr">
        <is>
          <t>December — Monthly Budget</t>
        </is>
      </c>
    </row>
    <row r="2" ht="26" customHeight="1">
      <c r="A2" s="5" t="inlineStr">
        <is>
          <t>Type only in the light-blue cells. The grey totals add themselves up.</t>
        </is>
      </c>
    </row>
    <row r="4">
      <c r="A4" s="6" t="inlineStr">
        <is>
          <t>INCOME</t>
        </is>
      </c>
      <c r="B4" s="7" t="n"/>
      <c r="C4" s="8" t="inlineStr">
        <is>
          <t>Planned</t>
        </is>
      </c>
      <c r="D4" s="8" t="inlineStr">
        <is>
          <t>Actual</t>
        </is>
      </c>
    </row>
    <row r="5">
      <c r="A5" s="9" t="inlineStr">
        <is>
          <t>Paycheck 1</t>
        </is>
      </c>
      <c r="B5" s="10" t="n"/>
      <c r="C5" s="11" t="n"/>
      <c r="D5" s="11" t="n"/>
    </row>
    <row r="6">
      <c r="A6" s="9" t="inlineStr">
        <is>
          <t>Paycheck 2</t>
        </is>
      </c>
      <c r="B6" s="10" t="n"/>
      <c r="C6" s="11" t="n"/>
      <c r="D6" s="11" t="n"/>
    </row>
    <row r="7">
      <c r="A7" s="9" t="inlineStr">
        <is>
          <t>Other income 1</t>
        </is>
      </c>
      <c r="B7" s="10" t="n"/>
      <c r="C7" s="11" t="n"/>
      <c r="D7" s="11" t="n"/>
    </row>
    <row r="8">
      <c r="A8" s="9" t="inlineStr">
        <is>
          <t>Other income 2</t>
        </is>
      </c>
      <c r="B8" s="10" t="n"/>
      <c r="C8" s="11" t="n"/>
      <c r="D8" s="11" t="n"/>
    </row>
    <row r="9">
      <c r="A9" s="12" t="inlineStr">
        <is>
          <t>Total income</t>
        </is>
      </c>
      <c r="B9" s="10" t="n"/>
      <c r="C9" s="13">
        <f>SUM(C5:C8)</f>
        <v/>
      </c>
      <c r="D9" s="13">
        <f>SUM(D5:D8)</f>
        <v/>
      </c>
    </row>
    <row r="11">
      <c r="A11" s="6" t="inlineStr">
        <is>
          <t>FIXED BILLS</t>
        </is>
      </c>
      <c r="B11" s="8" t="inlineStr">
        <is>
          <t>Due day</t>
        </is>
      </c>
      <c r="C11" s="8" t="inlineStr">
        <is>
          <t>Planned</t>
        </is>
      </c>
      <c r="D11" s="8" t="inlineStr">
        <is>
          <t>Actual</t>
        </is>
      </c>
    </row>
    <row r="12">
      <c r="A12" s="9" t="inlineStr">
        <is>
          <t>Rent / mortgage</t>
        </is>
      </c>
      <c r="B12" s="14" t="n"/>
      <c r="C12" s="11" t="n"/>
      <c r="D12" s="11" t="n"/>
    </row>
    <row r="13">
      <c r="A13" s="9" t="inlineStr">
        <is>
          <t>Electric</t>
        </is>
      </c>
      <c r="B13" s="14" t="n"/>
      <c r="C13" s="11" t="n"/>
      <c r="D13" s="11" t="n"/>
    </row>
    <row r="14">
      <c r="A14" s="9" t="inlineStr">
        <is>
          <t>Water</t>
        </is>
      </c>
      <c r="B14" s="14" t="n"/>
      <c r="C14" s="11" t="n"/>
      <c r="D14" s="11" t="n"/>
    </row>
    <row r="15">
      <c r="A15" s="9" t="inlineStr">
        <is>
          <t>Internet</t>
        </is>
      </c>
      <c r="B15" s="14" t="n"/>
      <c r="C15" s="11" t="n"/>
      <c r="D15" s="11" t="n"/>
    </row>
    <row r="16">
      <c r="A16" s="9" t="inlineStr">
        <is>
          <t>Phone</t>
        </is>
      </c>
      <c r="B16" s="14" t="n"/>
      <c r="C16" s="11" t="n"/>
      <c r="D16" s="11" t="n"/>
    </row>
    <row r="17">
      <c r="A17" s="9" t="inlineStr">
        <is>
          <t>Insurance</t>
        </is>
      </c>
      <c r="B17" s="14" t="n"/>
      <c r="C17" s="11" t="n"/>
      <c r="D17" s="11" t="n"/>
    </row>
    <row r="18">
      <c r="A18" s="9" t="inlineStr">
        <is>
          <t>Car payment</t>
        </is>
      </c>
      <c r="B18" s="14" t="n"/>
      <c r="C18" s="11" t="n"/>
      <c r="D18" s="11" t="n"/>
    </row>
    <row r="19">
      <c r="A19" s="9" t="inlineStr">
        <is>
          <t>Subscriptions</t>
        </is>
      </c>
      <c r="B19" s="14" t="n"/>
      <c r="C19" s="11" t="n"/>
      <c r="D19" s="11" t="n"/>
    </row>
    <row r="20">
      <c r="A20" s="9" t="inlineStr"/>
      <c r="B20" s="14" t="n"/>
      <c r="C20" s="11" t="n"/>
      <c r="D20" s="11" t="n"/>
    </row>
    <row r="21">
      <c r="A21" s="9" t="inlineStr"/>
      <c r="B21" s="14" t="n"/>
      <c r="C21" s="11" t="n"/>
      <c r="D21" s="11" t="n"/>
    </row>
    <row r="22">
      <c r="A22" s="12" t="inlineStr">
        <is>
          <t>Total bills</t>
        </is>
      </c>
      <c r="B22" s="10" t="n"/>
      <c r="C22" s="13">
        <f>SUM(C12:C21)</f>
        <v/>
      </c>
      <c r="D22" s="13">
        <f>SUM(D12:D21)</f>
        <v/>
      </c>
    </row>
    <row r="24">
      <c r="A24" s="6" t="inlineStr">
        <is>
          <t>VARIABLE SPENDING</t>
        </is>
      </c>
      <c r="B24" s="7" t="n"/>
      <c r="C24" s="8" t="inlineStr">
        <is>
          <t>Planned</t>
        </is>
      </c>
      <c r="D24" s="8" t="inlineStr">
        <is>
          <t>Actual</t>
        </is>
      </c>
    </row>
    <row r="25">
      <c r="A25" s="9" t="inlineStr">
        <is>
          <t>Groceries</t>
        </is>
      </c>
      <c r="B25" s="10" t="n"/>
      <c r="C25" s="11" t="n"/>
      <c r="D25" s="11" t="n"/>
    </row>
    <row r="26">
      <c r="A26" s="9" t="inlineStr">
        <is>
          <t>Dining out</t>
        </is>
      </c>
      <c r="B26" s="10" t="n"/>
      <c r="C26" s="11" t="n"/>
      <c r="D26" s="11" t="n"/>
    </row>
    <row r="27">
      <c r="A27" s="9" t="inlineStr">
        <is>
          <t>Transport</t>
        </is>
      </c>
      <c r="B27" s="10" t="n"/>
      <c r="C27" s="11" t="n"/>
      <c r="D27" s="11" t="n"/>
    </row>
    <row r="28">
      <c r="A28" s="9" t="inlineStr">
        <is>
          <t>Home</t>
        </is>
      </c>
      <c r="B28" s="10" t="n"/>
      <c r="C28" s="11" t="n"/>
      <c r="D28" s="11" t="n"/>
    </row>
    <row r="29">
      <c r="A29" s="9" t="inlineStr">
        <is>
          <t>Shopping</t>
        </is>
      </c>
      <c r="B29" s="10" t="n"/>
      <c r="C29" s="11" t="n"/>
      <c r="D29" s="11" t="n"/>
    </row>
    <row r="30">
      <c r="A30" s="9" t="inlineStr">
        <is>
          <t>Entertainment</t>
        </is>
      </c>
      <c r="B30" s="10" t="n"/>
      <c r="C30" s="11" t="n"/>
      <c r="D30" s="11" t="n"/>
    </row>
    <row r="31">
      <c r="A31" s="9" t="inlineStr">
        <is>
          <t>Health &amp; beauty</t>
        </is>
      </c>
      <c r="B31" s="10" t="n"/>
      <c r="C31" s="11" t="n"/>
      <c r="D31" s="11" t="n"/>
    </row>
    <row r="32">
      <c r="A32" s="9" t="inlineStr">
        <is>
          <t>Personal</t>
        </is>
      </c>
      <c r="B32" s="10" t="n"/>
      <c r="C32" s="11" t="n"/>
      <c r="D32" s="11" t="n"/>
    </row>
    <row r="33">
      <c r="A33" s="9" t="inlineStr">
        <is>
          <t>Gifts</t>
        </is>
      </c>
      <c r="B33" s="10" t="n"/>
      <c r="C33" s="11" t="n"/>
      <c r="D33" s="11" t="n"/>
    </row>
    <row r="34">
      <c r="A34" s="9" t="inlineStr">
        <is>
          <t>Other</t>
        </is>
      </c>
      <c r="B34" s="10" t="n"/>
      <c r="C34" s="11" t="n"/>
      <c r="D34" s="11" t="n"/>
    </row>
    <row r="35">
      <c r="A35" s="12" t="inlineStr">
        <is>
          <t>Total variable spending</t>
        </is>
      </c>
      <c r="B35" s="10" t="n"/>
      <c r="C35" s="13">
        <f>SUM(C25:C34)</f>
        <v/>
      </c>
      <c r="D35" s="13">
        <f>SUM(D25:D34)</f>
        <v/>
      </c>
    </row>
    <row r="37">
      <c r="A37" s="6" t="inlineStr">
        <is>
          <t>SAVINGS GOALS</t>
        </is>
      </c>
      <c r="B37" s="7" t="n"/>
      <c r="C37" s="8" t="inlineStr">
        <is>
          <t>Planned</t>
        </is>
      </c>
      <c r="D37" s="8" t="inlineStr">
        <is>
          <t>Actual</t>
        </is>
      </c>
    </row>
    <row r="38">
      <c r="A38" s="9" t="inlineStr">
        <is>
          <t>Emergency fund</t>
        </is>
      </c>
      <c r="B38" s="10" t="n"/>
      <c r="C38" s="11" t="n"/>
      <c r="D38" s="11" t="n"/>
    </row>
    <row r="39">
      <c r="A39" s="9" t="inlineStr">
        <is>
          <t>Vacation</t>
        </is>
      </c>
      <c r="B39" s="10" t="n"/>
      <c r="C39" s="11" t="n"/>
      <c r="D39" s="11" t="n"/>
    </row>
    <row r="40">
      <c r="A40" s="9" t="inlineStr">
        <is>
          <t>New car</t>
        </is>
      </c>
      <c r="B40" s="10" t="n"/>
      <c r="C40" s="11" t="n"/>
      <c r="D40" s="11" t="n"/>
    </row>
    <row r="41">
      <c r="A41" s="9" t="inlineStr"/>
      <c r="B41" s="10" t="n"/>
      <c r="C41" s="11" t="n"/>
      <c r="D41" s="11" t="n"/>
    </row>
    <row r="42">
      <c r="A42" s="12" t="inlineStr">
        <is>
          <t>Total savings</t>
        </is>
      </c>
      <c r="B42" s="10" t="n"/>
      <c r="C42" s="13">
        <f>SUM(C38:C41)</f>
        <v/>
      </c>
      <c r="D42" s="13">
        <f>SUM(D38:D41)</f>
        <v/>
      </c>
    </row>
    <row r="44">
      <c r="A44" s="6" t="inlineStr">
        <is>
          <t>MONTH SUMMARY</t>
        </is>
      </c>
      <c r="B44" s="7" t="n"/>
      <c r="C44" s="8" t="inlineStr">
        <is>
          <t>Planned</t>
        </is>
      </c>
      <c r="D44" s="8" t="inlineStr">
        <is>
          <t>Actual</t>
        </is>
      </c>
    </row>
    <row r="45">
      <c r="A45" s="12" t="inlineStr">
        <is>
          <t>Total income</t>
        </is>
      </c>
      <c r="B45" s="10" t="n"/>
      <c r="C45" s="13">
        <f>C9</f>
        <v/>
      </c>
      <c r="D45" s="13">
        <f>D9</f>
        <v/>
      </c>
    </row>
    <row r="46">
      <c r="A46" s="12" t="inlineStr">
        <is>
          <t>Total out (bills + spending)</t>
        </is>
      </c>
      <c r="B46" s="10" t="n"/>
      <c r="C46" s="13">
        <f>C22+C35</f>
        <v/>
      </c>
      <c r="D46" s="13">
        <f>D22+D35</f>
        <v/>
      </c>
    </row>
    <row r="47">
      <c r="A47" s="12" t="inlineStr">
        <is>
          <t>Total saved</t>
        </is>
      </c>
      <c r="B47" s="10" t="n"/>
      <c r="C47" s="13">
        <f>C42</f>
        <v/>
      </c>
      <c r="D47" s="13">
        <f>D42</f>
        <v/>
      </c>
    </row>
    <row r="48">
      <c r="A48" s="12" t="inlineStr">
        <is>
          <t>Left over</t>
        </is>
      </c>
      <c r="B48" s="10" t="n"/>
      <c r="C48" s="13">
        <f>C45-C46-C47</f>
        <v/>
      </c>
      <c r="D48" s="13">
        <f>D45-D46-D47</f>
        <v/>
      </c>
    </row>
    <row r="49">
      <c r="A49" s="12" t="inlineStr">
        <is>
          <t>Savings rate (of actual income)</t>
        </is>
      </c>
      <c r="B49" s="10" t="n"/>
      <c r="C49" s="10" t="n"/>
      <c r="D49" s="15">
        <f>IF(D45=0,"",D47/D45)</f>
        <v/>
      </c>
    </row>
  </sheetData>
  <mergeCells count="2">
    <mergeCell ref="A1:D1"/>
    <mergeCell ref="A2:D2"/>
  </mergeCells>
  <dataValidations count="1">
    <dataValidation sqref="B12:B21" showDropDown="0" showInputMessage="0" showErrorMessage="0" allowBlank="1" promptTitle="Due day" prompt="Day of the month this bill is due (1-31)." type="whole" operator="between">
      <formula1>1</formula1>
      <formula2>31</formula2>
    </dataValidation>
  </dataValidations>
  <pageMargins left="0.75" right="0.75" top="1" bottom="1" header="0.5" footer="0.5"/>
  <pageSetup orientation="portrait" fitToHeight="0" fitToWidth="1"/>
</worksheet>
</file>

<file path=xl/worksheets/sheet14.xml><?xml version="1.0" encoding="utf-8"?>
<worksheet xmlns="http://schemas.openxmlformats.org/spreadsheetml/2006/main">
  <sheetPr>
    <outlinePr summaryBelow="1" summaryRight="1"/>
    <pageSetUpPr fitToPage="1"/>
  </sheetPr>
  <dimension ref="A1:E131"/>
  <sheetViews>
    <sheetView workbookViewId="0">
      <pane ySplit="4" topLeftCell="A5" activePane="bottomLeft" state="frozen"/>
      <selection pane="bottomLeft" activeCell="A1" sqref="A1"/>
    </sheetView>
  </sheetViews>
  <sheetFormatPr baseColWidth="8" defaultRowHeight="15"/>
  <cols>
    <col width="13" customWidth="1" min="1" max="1"/>
    <col width="30" customWidth="1" min="2" max="2"/>
    <col width="18" customWidth="1" min="3" max="3"/>
    <col width="13" customWidth="1" min="4" max="4"/>
    <col width="12" customWidth="1" min="5" max="5"/>
  </cols>
  <sheetData>
    <row r="1">
      <c r="A1" s="4" t="inlineStr">
        <is>
          <t>Expense Log</t>
        </is>
      </c>
    </row>
    <row r="2" ht="42" customHeight="1">
      <c r="A2" s="5" t="inlineStr">
        <is>
          <t>One line per spend. Type the date, what it was, the category and the amount — the Month column and the totals at the bottom fill themselves.</t>
        </is>
      </c>
    </row>
    <row r="4">
      <c r="A4" s="6" t="inlineStr">
        <is>
          <t>Date</t>
        </is>
      </c>
      <c r="B4" s="6" t="inlineStr">
        <is>
          <t>Item</t>
        </is>
      </c>
      <c r="C4" s="6" t="inlineStr">
        <is>
          <t>Category</t>
        </is>
      </c>
      <c r="D4" s="6" t="inlineStr">
        <is>
          <t>Amount</t>
        </is>
      </c>
      <c r="E4" s="6" t="inlineStr">
        <is>
          <t>Month (auto)</t>
        </is>
      </c>
    </row>
    <row r="5">
      <c r="A5" s="16" t="n"/>
      <c r="B5" s="9" t="n"/>
      <c r="C5" s="9" t="n"/>
      <c r="D5" s="11" t="n"/>
      <c r="E5" s="17">
        <f>IF(A5="","",MONTH(A5))</f>
        <v/>
      </c>
    </row>
    <row r="6">
      <c r="A6" s="16" t="n"/>
      <c r="B6" s="9" t="n"/>
      <c r="C6" s="9" t="n"/>
      <c r="D6" s="11" t="n"/>
      <c r="E6" s="17">
        <f>IF(A6="","",MONTH(A6))</f>
        <v/>
      </c>
    </row>
    <row r="7">
      <c r="A7" s="16" t="n"/>
      <c r="B7" s="9" t="n"/>
      <c r="C7" s="9" t="n"/>
      <c r="D7" s="11" t="n"/>
      <c r="E7" s="17">
        <f>IF(A7="","",MONTH(A7))</f>
        <v/>
      </c>
    </row>
    <row r="8">
      <c r="A8" s="16" t="n"/>
      <c r="B8" s="9" t="n"/>
      <c r="C8" s="9" t="n"/>
      <c r="D8" s="11" t="n"/>
      <c r="E8" s="17">
        <f>IF(A8="","",MONTH(A8))</f>
        <v/>
      </c>
    </row>
    <row r="9">
      <c r="A9" s="16" t="n"/>
      <c r="B9" s="9" t="n"/>
      <c r="C9" s="9" t="n"/>
      <c r="D9" s="11" t="n"/>
      <c r="E9" s="17">
        <f>IF(A9="","",MONTH(A9))</f>
        <v/>
      </c>
    </row>
    <row r="10">
      <c r="A10" s="16" t="n"/>
      <c r="B10" s="9" t="n"/>
      <c r="C10" s="9" t="n"/>
      <c r="D10" s="11" t="n"/>
      <c r="E10" s="17">
        <f>IF(A10="","",MONTH(A10))</f>
        <v/>
      </c>
    </row>
    <row r="11">
      <c r="A11" s="16" t="n"/>
      <c r="B11" s="9" t="n"/>
      <c r="C11" s="9" t="n"/>
      <c r="D11" s="11" t="n"/>
      <c r="E11" s="17">
        <f>IF(A11="","",MONTH(A11))</f>
        <v/>
      </c>
    </row>
    <row r="12">
      <c r="A12" s="16" t="n"/>
      <c r="B12" s="9" t="n"/>
      <c r="C12" s="9" t="n"/>
      <c r="D12" s="11" t="n"/>
      <c r="E12" s="17">
        <f>IF(A12="","",MONTH(A12))</f>
        <v/>
      </c>
    </row>
    <row r="13">
      <c r="A13" s="16" t="n"/>
      <c r="B13" s="9" t="n"/>
      <c r="C13" s="9" t="n"/>
      <c r="D13" s="11" t="n"/>
      <c r="E13" s="17">
        <f>IF(A13="","",MONTH(A13))</f>
        <v/>
      </c>
    </row>
    <row r="14">
      <c r="A14" s="16" t="n"/>
      <c r="B14" s="9" t="n"/>
      <c r="C14" s="9" t="n"/>
      <c r="D14" s="11" t="n"/>
      <c r="E14" s="17">
        <f>IF(A14="","",MONTH(A14))</f>
        <v/>
      </c>
    </row>
    <row r="15">
      <c r="A15" s="16" t="n"/>
      <c r="B15" s="9" t="n"/>
      <c r="C15" s="9" t="n"/>
      <c r="D15" s="11" t="n"/>
      <c r="E15" s="17">
        <f>IF(A15="","",MONTH(A15))</f>
        <v/>
      </c>
    </row>
    <row r="16">
      <c r="A16" s="16" t="n"/>
      <c r="B16" s="9" t="n"/>
      <c r="C16" s="9" t="n"/>
      <c r="D16" s="11" t="n"/>
      <c r="E16" s="17">
        <f>IF(A16="","",MONTH(A16))</f>
        <v/>
      </c>
    </row>
    <row r="17">
      <c r="A17" s="16" t="n"/>
      <c r="B17" s="9" t="n"/>
      <c r="C17" s="9" t="n"/>
      <c r="D17" s="11" t="n"/>
      <c r="E17" s="17">
        <f>IF(A17="","",MONTH(A17))</f>
        <v/>
      </c>
    </row>
    <row r="18">
      <c r="A18" s="16" t="n"/>
      <c r="B18" s="9" t="n"/>
      <c r="C18" s="9" t="n"/>
      <c r="D18" s="11" t="n"/>
      <c r="E18" s="17">
        <f>IF(A18="","",MONTH(A18))</f>
        <v/>
      </c>
    </row>
    <row r="19">
      <c r="A19" s="16" t="n"/>
      <c r="B19" s="9" t="n"/>
      <c r="C19" s="9" t="n"/>
      <c r="D19" s="11" t="n"/>
      <c r="E19" s="17">
        <f>IF(A19="","",MONTH(A19))</f>
        <v/>
      </c>
    </row>
    <row r="20">
      <c r="A20" s="16" t="n"/>
      <c r="B20" s="9" t="n"/>
      <c r="C20" s="9" t="n"/>
      <c r="D20" s="11" t="n"/>
      <c r="E20" s="17">
        <f>IF(A20="","",MONTH(A20))</f>
        <v/>
      </c>
    </row>
    <row r="21">
      <c r="A21" s="16" t="n"/>
      <c r="B21" s="9" t="n"/>
      <c r="C21" s="9" t="n"/>
      <c r="D21" s="11" t="n"/>
      <c r="E21" s="17">
        <f>IF(A21="","",MONTH(A21))</f>
        <v/>
      </c>
    </row>
    <row r="22">
      <c r="A22" s="16" t="n"/>
      <c r="B22" s="9" t="n"/>
      <c r="C22" s="9" t="n"/>
      <c r="D22" s="11" t="n"/>
      <c r="E22" s="17">
        <f>IF(A22="","",MONTH(A22))</f>
        <v/>
      </c>
    </row>
    <row r="23">
      <c r="A23" s="16" t="n"/>
      <c r="B23" s="9" t="n"/>
      <c r="C23" s="9" t="n"/>
      <c r="D23" s="11" t="n"/>
      <c r="E23" s="17">
        <f>IF(A23="","",MONTH(A23))</f>
        <v/>
      </c>
    </row>
    <row r="24">
      <c r="A24" s="16" t="n"/>
      <c r="B24" s="9" t="n"/>
      <c r="C24" s="9" t="n"/>
      <c r="D24" s="11" t="n"/>
      <c r="E24" s="17">
        <f>IF(A24="","",MONTH(A24))</f>
        <v/>
      </c>
    </row>
    <row r="25">
      <c r="A25" s="16" t="n"/>
      <c r="B25" s="9" t="n"/>
      <c r="C25" s="9" t="n"/>
      <c r="D25" s="11" t="n"/>
      <c r="E25" s="17">
        <f>IF(A25="","",MONTH(A25))</f>
        <v/>
      </c>
    </row>
    <row r="26">
      <c r="A26" s="16" t="n"/>
      <c r="B26" s="9" t="n"/>
      <c r="C26" s="9" t="n"/>
      <c r="D26" s="11" t="n"/>
      <c r="E26" s="17">
        <f>IF(A26="","",MONTH(A26))</f>
        <v/>
      </c>
    </row>
    <row r="27">
      <c r="A27" s="16" t="n"/>
      <c r="B27" s="9" t="n"/>
      <c r="C27" s="9" t="n"/>
      <c r="D27" s="11" t="n"/>
      <c r="E27" s="17">
        <f>IF(A27="","",MONTH(A27))</f>
        <v/>
      </c>
    </row>
    <row r="28">
      <c r="A28" s="16" t="n"/>
      <c r="B28" s="9" t="n"/>
      <c r="C28" s="9" t="n"/>
      <c r="D28" s="11" t="n"/>
      <c r="E28" s="17">
        <f>IF(A28="","",MONTH(A28))</f>
        <v/>
      </c>
    </row>
    <row r="29">
      <c r="A29" s="16" t="n"/>
      <c r="B29" s="9" t="n"/>
      <c r="C29" s="9" t="n"/>
      <c r="D29" s="11" t="n"/>
      <c r="E29" s="17">
        <f>IF(A29="","",MONTH(A29))</f>
        <v/>
      </c>
    </row>
    <row r="30">
      <c r="A30" s="16" t="n"/>
      <c r="B30" s="9" t="n"/>
      <c r="C30" s="9" t="n"/>
      <c r="D30" s="11" t="n"/>
      <c r="E30" s="17">
        <f>IF(A30="","",MONTH(A30))</f>
        <v/>
      </c>
    </row>
    <row r="31">
      <c r="A31" s="16" t="n"/>
      <c r="B31" s="9" t="n"/>
      <c r="C31" s="9" t="n"/>
      <c r="D31" s="11" t="n"/>
      <c r="E31" s="17">
        <f>IF(A31="","",MONTH(A31))</f>
        <v/>
      </c>
    </row>
    <row r="32">
      <c r="A32" s="16" t="n"/>
      <c r="B32" s="9" t="n"/>
      <c r="C32" s="9" t="n"/>
      <c r="D32" s="11" t="n"/>
      <c r="E32" s="17">
        <f>IF(A32="","",MONTH(A32))</f>
        <v/>
      </c>
    </row>
    <row r="33">
      <c r="A33" s="16" t="n"/>
      <c r="B33" s="9" t="n"/>
      <c r="C33" s="9" t="n"/>
      <c r="D33" s="11" t="n"/>
      <c r="E33" s="17">
        <f>IF(A33="","",MONTH(A33))</f>
        <v/>
      </c>
    </row>
    <row r="34">
      <c r="A34" s="16" t="n"/>
      <c r="B34" s="9" t="n"/>
      <c r="C34" s="9" t="n"/>
      <c r="D34" s="11" t="n"/>
      <c r="E34" s="17">
        <f>IF(A34="","",MONTH(A34))</f>
        <v/>
      </c>
    </row>
    <row r="35">
      <c r="A35" s="16" t="n"/>
      <c r="B35" s="9" t="n"/>
      <c r="C35" s="9" t="n"/>
      <c r="D35" s="11" t="n"/>
      <c r="E35" s="17">
        <f>IF(A35="","",MONTH(A35))</f>
        <v/>
      </c>
    </row>
    <row r="36">
      <c r="A36" s="16" t="n"/>
      <c r="B36" s="9" t="n"/>
      <c r="C36" s="9" t="n"/>
      <c r="D36" s="11" t="n"/>
      <c r="E36" s="17">
        <f>IF(A36="","",MONTH(A36))</f>
        <v/>
      </c>
    </row>
    <row r="37">
      <c r="A37" s="16" t="n"/>
      <c r="B37" s="9" t="n"/>
      <c r="C37" s="9" t="n"/>
      <c r="D37" s="11" t="n"/>
      <c r="E37" s="17">
        <f>IF(A37="","",MONTH(A37))</f>
        <v/>
      </c>
    </row>
    <row r="38">
      <c r="A38" s="16" t="n"/>
      <c r="B38" s="9" t="n"/>
      <c r="C38" s="9" t="n"/>
      <c r="D38" s="11" t="n"/>
      <c r="E38" s="17">
        <f>IF(A38="","",MONTH(A38))</f>
        <v/>
      </c>
    </row>
    <row r="39">
      <c r="A39" s="16" t="n"/>
      <c r="B39" s="9" t="n"/>
      <c r="C39" s="9" t="n"/>
      <c r="D39" s="11" t="n"/>
      <c r="E39" s="17">
        <f>IF(A39="","",MONTH(A39))</f>
        <v/>
      </c>
    </row>
    <row r="40">
      <c r="A40" s="16" t="n"/>
      <c r="B40" s="9" t="n"/>
      <c r="C40" s="9" t="n"/>
      <c r="D40" s="11" t="n"/>
      <c r="E40" s="17">
        <f>IF(A40="","",MONTH(A40))</f>
        <v/>
      </c>
    </row>
    <row r="41">
      <c r="A41" s="16" t="n"/>
      <c r="B41" s="9" t="n"/>
      <c r="C41" s="9" t="n"/>
      <c r="D41" s="11" t="n"/>
      <c r="E41" s="17">
        <f>IF(A41="","",MONTH(A41))</f>
        <v/>
      </c>
    </row>
    <row r="42">
      <c r="A42" s="16" t="n"/>
      <c r="B42" s="9" t="n"/>
      <c r="C42" s="9" t="n"/>
      <c r="D42" s="11" t="n"/>
      <c r="E42" s="17">
        <f>IF(A42="","",MONTH(A42))</f>
        <v/>
      </c>
    </row>
    <row r="43">
      <c r="A43" s="16" t="n"/>
      <c r="B43" s="9" t="n"/>
      <c r="C43" s="9" t="n"/>
      <c r="D43" s="11" t="n"/>
      <c r="E43" s="17">
        <f>IF(A43="","",MONTH(A43))</f>
        <v/>
      </c>
    </row>
    <row r="44">
      <c r="A44" s="16" t="n"/>
      <c r="B44" s="9" t="n"/>
      <c r="C44" s="9" t="n"/>
      <c r="D44" s="11" t="n"/>
      <c r="E44" s="17">
        <f>IF(A44="","",MONTH(A44))</f>
        <v/>
      </c>
    </row>
    <row r="45">
      <c r="A45" s="16" t="n"/>
      <c r="B45" s="9" t="n"/>
      <c r="C45" s="9" t="n"/>
      <c r="D45" s="11" t="n"/>
      <c r="E45" s="17">
        <f>IF(A45="","",MONTH(A45))</f>
        <v/>
      </c>
    </row>
    <row r="46">
      <c r="A46" s="16" t="n"/>
      <c r="B46" s="9" t="n"/>
      <c r="C46" s="9" t="n"/>
      <c r="D46" s="11" t="n"/>
      <c r="E46" s="17">
        <f>IF(A46="","",MONTH(A46))</f>
        <v/>
      </c>
    </row>
    <row r="47">
      <c r="A47" s="16" t="n"/>
      <c r="B47" s="9" t="n"/>
      <c r="C47" s="9" t="n"/>
      <c r="D47" s="11" t="n"/>
      <c r="E47" s="17">
        <f>IF(A47="","",MONTH(A47))</f>
        <v/>
      </c>
    </row>
    <row r="48">
      <c r="A48" s="16" t="n"/>
      <c r="B48" s="9" t="n"/>
      <c r="C48" s="9" t="n"/>
      <c r="D48" s="11" t="n"/>
      <c r="E48" s="17">
        <f>IF(A48="","",MONTH(A48))</f>
        <v/>
      </c>
    </row>
    <row r="49">
      <c r="A49" s="16" t="n"/>
      <c r="B49" s="9" t="n"/>
      <c r="C49" s="9" t="n"/>
      <c r="D49" s="11" t="n"/>
      <c r="E49" s="17">
        <f>IF(A49="","",MONTH(A49))</f>
        <v/>
      </c>
    </row>
    <row r="50">
      <c r="A50" s="16" t="n"/>
      <c r="B50" s="9" t="n"/>
      <c r="C50" s="9" t="n"/>
      <c r="D50" s="11" t="n"/>
      <c r="E50" s="17">
        <f>IF(A50="","",MONTH(A50))</f>
        <v/>
      </c>
    </row>
    <row r="51">
      <c r="A51" s="16" t="n"/>
      <c r="B51" s="9" t="n"/>
      <c r="C51" s="9" t="n"/>
      <c r="D51" s="11" t="n"/>
      <c r="E51" s="17">
        <f>IF(A51="","",MONTH(A51))</f>
        <v/>
      </c>
    </row>
    <row r="52">
      <c r="A52" s="16" t="n"/>
      <c r="B52" s="9" t="n"/>
      <c r="C52" s="9" t="n"/>
      <c r="D52" s="11" t="n"/>
      <c r="E52" s="17">
        <f>IF(A52="","",MONTH(A52))</f>
        <v/>
      </c>
    </row>
    <row r="53">
      <c r="A53" s="16" t="n"/>
      <c r="B53" s="9" t="n"/>
      <c r="C53" s="9" t="n"/>
      <c r="D53" s="11" t="n"/>
      <c r="E53" s="17">
        <f>IF(A53="","",MONTH(A53))</f>
        <v/>
      </c>
    </row>
    <row r="54">
      <c r="A54" s="16" t="n"/>
      <c r="B54" s="9" t="n"/>
      <c r="C54" s="9" t="n"/>
      <c r="D54" s="11" t="n"/>
      <c r="E54" s="17">
        <f>IF(A54="","",MONTH(A54))</f>
        <v/>
      </c>
    </row>
    <row r="55">
      <c r="A55" s="16" t="n"/>
      <c r="B55" s="9" t="n"/>
      <c r="C55" s="9" t="n"/>
      <c r="D55" s="11" t="n"/>
      <c r="E55" s="17">
        <f>IF(A55="","",MONTH(A55))</f>
        <v/>
      </c>
    </row>
    <row r="56">
      <c r="A56" s="16" t="n"/>
      <c r="B56" s="9" t="n"/>
      <c r="C56" s="9" t="n"/>
      <c r="D56" s="11" t="n"/>
      <c r="E56" s="17">
        <f>IF(A56="","",MONTH(A56))</f>
        <v/>
      </c>
    </row>
    <row r="57">
      <c r="A57" s="16" t="n"/>
      <c r="B57" s="9" t="n"/>
      <c r="C57" s="9" t="n"/>
      <c r="D57" s="11" t="n"/>
      <c r="E57" s="17">
        <f>IF(A57="","",MONTH(A57))</f>
        <v/>
      </c>
    </row>
    <row r="58">
      <c r="A58" s="16" t="n"/>
      <c r="B58" s="9" t="n"/>
      <c r="C58" s="9" t="n"/>
      <c r="D58" s="11" t="n"/>
      <c r="E58" s="17">
        <f>IF(A58="","",MONTH(A58))</f>
        <v/>
      </c>
    </row>
    <row r="59">
      <c r="A59" s="16" t="n"/>
      <c r="B59" s="9" t="n"/>
      <c r="C59" s="9" t="n"/>
      <c r="D59" s="11" t="n"/>
      <c r="E59" s="17">
        <f>IF(A59="","",MONTH(A59))</f>
        <v/>
      </c>
    </row>
    <row r="60">
      <c r="A60" s="16" t="n"/>
      <c r="B60" s="9" t="n"/>
      <c r="C60" s="9" t="n"/>
      <c r="D60" s="11" t="n"/>
      <c r="E60" s="17">
        <f>IF(A60="","",MONTH(A60))</f>
        <v/>
      </c>
    </row>
    <row r="61">
      <c r="A61" s="16" t="n"/>
      <c r="B61" s="9" t="n"/>
      <c r="C61" s="9" t="n"/>
      <c r="D61" s="11" t="n"/>
      <c r="E61" s="17">
        <f>IF(A61="","",MONTH(A61))</f>
        <v/>
      </c>
    </row>
    <row r="62">
      <c r="A62" s="16" t="n"/>
      <c r="B62" s="9" t="n"/>
      <c r="C62" s="9" t="n"/>
      <c r="D62" s="11" t="n"/>
      <c r="E62" s="17">
        <f>IF(A62="","",MONTH(A62))</f>
        <v/>
      </c>
    </row>
    <row r="63">
      <c r="A63" s="16" t="n"/>
      <c r="B63" s="9" t="n"/>
      <c r="C63" s="9" t="n"/>
      <c r="D63" s="11" t="n"/>
      <c r="E63" s="17">
        <f>IF(A63="","",MONTH(A63))</f>
        <v/>
      </c>
    </row>
    <row r="64">
      <c r="A64" s="16" t="n"/>
      <c r="B64" s="9" t="n"/>
      <c r="C64" s="9" t="n"/>
      <c r="D64" s="11" t="n"/>
      <c r="E64" s="17">
        <f>IF(A64="","",MONTH(A64))</f>
        <v/>
      </c>
    </row>
    <row r="65">
      <c r="A65" s="16" t="n"/>
      <c r="B65" s="9" t="n"/>
      <c r="C65" s="9" t="n"/>
      <c r="D65" s="11" t="n"/>
      <c r="E65" s="17">
        <f>IF(A65="","",MONTH(A65))</f>
        <v/>
      </c>
    </row>
    <row r="66">
      <c r="A66" s="16" t="n"/>
      <c r="B66" s="9" t="n"/>
      <c r="C66" s="9" t="n"/>
      <c r="D66" s="11" t="n"/>
      <c r="E66" s="17">
        <f>IF(A66="","",MONTH(A66))</f>
        <v/>
      </c>
    </row>
    <row r="67">
      <c r="A67" s="16" t="n"/>
      <c r="B67" s="9" t="n"/>
      <c r="C67" s="9" t="n"/>
      <c r="D67" s="11" t="n"/>
      <c r="E67" s="17">
        <f>IF(A67="","",MONTH(A67))</f>
        <v/>
      </c>
    </row>
    <row r="68">
      <c r="A68" s="16" t="n"/>
      <c r="B68" s="9" t="n"/>
      <c r="C68" s="9" t="n"/>
      <c r="D68" s="11" t="n"/>
      <c r="E68" s="17">
        <f>IF(A68="","",MONTH(A68))</f>
        <v/>
      </c>
    </row>
    <row r="69">
      <c r="A69" s="16" t="n"/>
      <c r="B69" s="9" t="n"/>
      <c r="C69" s="9" t="n"/>
      <c r="D69" s="11" t="n"/>
      <c r="E69" s="17">
        <f>IF(A69="","",MONTH(A69))</f>
        <v/>
      </c>
    </row>
    <row r="70">
      <c r="A70" s="16" t="n"/>
      <c r="B70" s="9" t="n"/>
      <c r="C70" s="9" t="n"/>
      <c r="D70" s="11" t="n"/>
      <c r="E70" s="17">
        <f>IF(A70="","",MONTH(A70))</f>
        <v/>
      </c>
    </row>
    <row r="71">
      <c r="A71" s="16" t="n"/>
      <c r="B71" s="9" t="n"/>
      <c r="C71" s="9" t="n"/>
      <c r="D71" s="11" t="n"/>
      <c r="E71" s="17">
        <f>IF(A71="","",MONTH(A71))</f>
        <v/>
      </c>
    </row>
    <row r="72">
      <c r="A72" s="16" t="n"/>
      <c r="B72" s="9" t="n"/>
      <c r="C72" s="9" t="n"/>
      <c r="D72" s="11" t="n"/>
      <c r="E72" s="17">
        <f>IF(A72="","",MONTH(A72))</f>
        <v/>
      </c>
    </row>
    <row r="73">
      <c r="A73" s="16" t="n"/>
      <c r="B73" s="9" t="n"/>
      <c r="C73" s="9" t="n"/>
      <c r="D73" s="11" t="n"/>
      <c r="E73" s="17">
        <f>IF(A73="","",MONTH(A73))</f>
        <v/>
      </c>
    </row>
    <row r="74">
      <c r="A74" s="16" t="n"/>
      <c r="B74" s="9" t="n"/>
      <c r="C74" s="9" t="n"/>
      <c r="D74" s="11" t="n"/>
      <c r="E74" s="17">
        <f>IF(A74="","",MONTH(A74))</f>
        <v/>
      </c>
    </row>
    <row r="75">
      <c r="A75" s="16" t="n"/>
      <c r="B75" s="9" t="n"/>
      <c r="C75" s="9" t="n"/>
      <c r="D75" s="11" t="n"/>
      <c r="E75" s="17">
        <f>IF(A75="","",MONTH(A75))</f>
        <v/>
      </c>
    </row>
    <row r="76">
      <c r="A76" s="16" t="n"/>
      <c r="B76" s="9" t="n"/>
      <c r="C76" s="9" t="n"/>
      <c r="D76" s="11" t="n"/>
      <c r="E76" s="17">
        <f>IF(A76="","",MONTH(A76))</f>
        <v/>
      </c>
    </row>
    <row r="77">
      <c r="A77" s="16" t="n"/>
      <c r="B77" s="9" t="n"/>
      <c r="C77" s="9" t="n"/>
      <c r="D77" s="11" t="n"/>
      <c r="E77" s="17">
        <f>IF(A77="","",MONTH(A77))</f>
        <v/>
      </c>
    </row>
    <row r="78">
      <c r="A78" s="16" t="n"/>
      <c r="B78" s="9" t="n"/>
      <c r="C78" s="9" t="n"/>
      <c r="D78" s="11" t="n"/>
      <c r="E78" s="17">
        <f>IF(A78="","",MONTH(A78))</f>
        <v/>
      </c>
    </row>
    <row r="79">
      <c r="A79" s="16" t="n"/>
      <c r="B79" s="9" t="n"/>
      <c r="C79" s="9" t="n"/>
      <c r="D79" s="11" t="n"/>
      <c r="E79" s="17">
        <f>IF(A79="","",MONTH(A79))</f>
        <v/>
      </c>
    </row>
    <row r="80">
      <c r="A80" s="16" t="n"/>
      <c r="B80" s="9" t="n"/>
      <c r="C80" s="9" t="n"/>
      <c r="D80" s="11" t="n"/>
      <c r="E80" s="17">
        <f>IF(A80="","",MONTH(A80))</f>
        <v/>
      </c>
    </row>
    <row r="81">
      <c r="A81" s="16" t="n"/>
      <c r="B81" s="9" t="n"/>
      <c r="C81" s="9" t="n"/>
      <c r="D81" s="11" t="n"/>
      <c r="E81" s="17">
        <f>IF(A81="","",MONTH(A81))</f>
        <v/>
      </c>
    </row>
    <row r="82">
      <c r="A82" s="16" t="n"/>
      <c r="B82" s="9" t="n"/>
      <c r="C82" s="9" t="n"/>
      <c r="D82" s="11" t="n"/>
      <c r="E82" s="17">
        <f>IF(A82="","",MONTH(A82))</f>
        <v/>
      </c>
    </row>
    <row r="83">
      <c r="A83" s="16" t="n"/>
      <c r="B83" s="9" t="n"/>
      <c r="C83" s="9" t="n"/>
      <c r="D83" s="11" t="n"/>
      <c r="E83" s="17">
        <f>IF(A83="","",MONTH(A83))</f>
        <v/>
      </c>
    </row>
    <row r="84">
      <c r="A84" s="16" t="n"/>
      <c r="B84" s="9" t="n"/>
      <c r="C84" s="9" t="n"/>
      <c r="D84" s="11" t="n"/>
      <c r="E84" s="17">
        <f>IF(A84="","",MONTH(A84))</f>
        <v/>
      </c>
    </row>
    <row r="85">
      <c r="A85" s="16" t="n"/>
      <c r="B85" s="9" t="n"/>
      <c r="C85" s="9" t="n"/>
      <c r="D85" s="11" t="n"/>
      <c r="E85" s="17">
        <f>IF(A85="","",MONTH(A85))</f>
        <v/>
      </c>
    </row>
    <row r="86">
      <c r="A86" s="16" t="n"/>
      <c r="B86" s="9" t="n"/>
      <c r="C86" s="9" t="n"/>
      <c r="D86" s="11" t="n"/>
      <c r="E86" s="17">
        <f>IF(A86="","",MONTH(A86))</f>
        <v/>
      </c>
    </row>
    <row r="87">
      <c r="A87" s="16" t="n"/>
      <c r="B87" s="9" t="n"/>
      <c r="C87" s="9" t="n"/>
      <c r="D87" s="11" t="n"/>
      <c r="E87" s="17">
        <f>IF(A87="","",MONTH(A87))</f>
        <v/>
      </c>
    </row>
    <row r="88">
      <c r="A88" s="16" t="n"/>
      <c r="B88" s="9" t="n"/>
      <c r="C88" s="9" t="n"/>
      <c r="D88" s="11" t="n"/>
      <c r="E88" s="17">
        <f>IF(A88="","",MONTH(A88))</f>
        <v/>
      </c>
    </row>
    <row r="89">
      <c r="A89" s="16" t="n"/>
      <c r="B89" s="9" t="n"/>
      <c r="C89" s="9" t="n"/>
      <c r="D89" s="11" t="n"/>
      <c r="E89" s="17">
        <f>IF(A89="","",MONTH(A89))</f>
        <v/>
      </c>
    </row>
    <row r="90">
      <c r="A90" s="16" t="n"/>
      <c r="B90" s="9" t="n"/>
      <c r="C90" s="9" t="n"/>
      <c r="D90" s="11" t="n"/>
      <c r="E90" s="17">
        <f>IF(A90="","",MONTH(A90))</f>
        <v/>
      </c>
    </row>
    <row r="91">
      <c r="A91" s="16" t="n"/>
      <c r="B91" s="9" t="n"/>
      <c r="C91" s="9" t="n"/>
      <c r="D91" s="11" t="n"/>
      <c r="E91" s="17">
        <f>IF(A91="","",MONTH(A91))</f>
        <v/>
      </c>
    </row>
    <row r="92">
      <c r="A92" s="16" t="n"/>
      <c r="B92" s="9" t="n"/>
      <c r="C92" s="9" t="n"/>
      <c r="D92" s="11" t="n"/>
      <c r="E92" s="17">
        <f>IF(A92="","",MONTH(A92))</f>
        <v/>
      </c>
    </row>
    <row r="93">
      <c r="A93" s="16" t="n"/>
      <c r="B93" s="9" t="n"/>
      <c r="C93" s="9" t="n"/>
      <c r="D93" s="11" t="n"/>
      <c r="E93" s="17">
        <f>IF(A93="","",MONTH(A93))</f>
        <v/>
      </c>
    </row>
    <row r="94">
      <c r="A94" s="16" t="n"/>
      <c r="B94" s="9" t="n"/>
      <c r="C94" s="9" t="n"/>
      <c r="D94" s="11" t="n"/>
      <c r="E94" s="17">
        <f>IF(A94="","",MONTH(A94))</f>
        <v/>
      </c>
    </row>
    <row r="95">
      <c r="A95" s="16" t="n"/>
      <c r="B95" s="9" t="n"/>
      <c r="C95" s="9" t="n"/>
      <c r="D95" s="11" t="n"/>
      <c r="E95" s="17">
        <f>IF(A95="","",MONTH(A95))</f>
        <v/>
      </c>
    </row>
    <row r="96">
      <c r="A96" s="16" t="n"/>
      <c r="B96" s="9" t="n"/>
      <c r="C96" s="9" t="n"/>
      <c r="D96" s="11" t="n"/>
      <c r="E96" s="17">
        <f>IF(A96="","",MONTH(A96))</f>
        <v/>
      </c>
    </row>
    <row r="97">
      <c r="A97" s="16" t="n"/>
      <c r="B97" s="9" t="n"/>
      <c r="C97" s="9" t="n"/>
      <c r="D97" s="11" t="n"/>
      <c r="E97" s="17">
        <f>IF(A97="","",MONTH(A97))</f>
        <v/>
      </c>
    </row>
    <row r="98">
      <c r="A98" s="16" t="n"/>
      <c r="B98" s="9" t="n"/>
      <c r="C98" s="9" t="n"/>
      <c r="D98" s="11" t="n"/>
      <c r="E98" s="17">
        <f>IF(A98="","",MONTH(A98))</f>
        <v/>
      </c>
    </row>
    <row r="99">
      <c r="A99" s="16" t="n"/>
      <c r="B99" s="9" t="n"/>
      <c r="C99" s="9" t="n"/>
      <c r="D99" s="11" t="n"/>
      <c r="E99" s="17">
        <f>IF(A99="","",MONTH(A99))</f>
        <v/>
      </c>
    </row>
    <row r="100">
      <c r="A100" s="16" t="n"/>
      <c r="B100" s="9" t="n"/>
      <c r="C100" s="9" t="n"/>
      <c r="D100" s="11" t="n"/>
      <c r="E100" s="17">
        <f>IF(A100="","",MONTH(A100))</f>
        <v/>
      </c>
    </row>
    <row r="101">
      <c r="A101" s="16" t="n"/>
      <c r="B101" s="9" t="n"/>
      <c r="C101" s="9" t="n"/>
      <c r="D101" s="11" t="n"/>
      <c r="E101" s="17">
        <f>IF(A101="","",MONTH(A101))</f>
        <v/>
      </c>
    </row>
    <row r="102">
      <c r="A102" s="16" t="n"/>
      <c r="B102" s="9" t="n"/>
      <c r="C102" s="9" t="n"/>
      <c r="D102" s="11" t="n"/>
      <c r="E102" s="17">
        <f>IF(A102="","",MONTH(A102))</f>
        <v/>
      </c>
    </row>
    <row r="103">
      <c r="A103" s="16" t="n"/>
      <c r="B103" s="9" t="n"/>
      <c r="C103" s="9" t="n"/>
      <c r="D103" s="11" t="n"/>
      <c r="E103" s="17">
        <f>IF(A103="","",MONTH(A103))</f>
        <v/>
      </c>
    </row>
    <row r="104">
      <c r="A104" s="16" t="n"/>
      <c r="B104" s="9" t="n"/>
      <c r="C104" s="9" t="n"/>
      <c r="D104" s="11" t="n"/>
      <c r="E104" s="17">
        <f>IF(A104="","",MONTH(A104))</f>
        <v/>
      </c>
    </row>
    <row r="106">
      <c r="A106" s="6" t="inlineStr">
        <is>
          <t>TOTALS BY MONTH (AUTO — FROM THE LOG ABOVE)</t>
        </is>
      </c>
      <c r="B106" s="7" t="n"/>
      <c r="C106" s="7" t="n"/>
      <c r="D106" s="7" t="n"/>
    </row>
    <row r="107">
      <c r="A107" s="18" t="inlineStr">
        <is>
          <t>January</t>
        </is>
      </c>
      <c r="B107" s="10" t="n"/>
      <c r="C107" s="10" t="n"/>
      <c r="D107" s="19">
        <f>SUMIFS($D$5:$D$104,$E$5:$E$104,1)</f>
        <v/>
      </c>
    </row>
    <row r="108">
      <c r="A108" s="18" t="inlineStr">
        <is>
          <t>February</t>
        </is>
      </c>
      <c r="B108" s="10" t="n"/>
      <c r="C108" s="10" t="n"/>
      <c r="D108" s="19">
        <f>SUMIFS($D$5:$D$104,$E$5:$E$104,2)</f>
        <v/>
      </c>
    </row>
    <row r="109">
      <c r="A109" s="18" t="inlineStr">
        <is>
          <t>March</t>
        </is>
      </c>
      <c r="B109" s="10" t="n"/>
      <c r="C109" s="10" t="n"/>
      <c r="D109" s="19">
        <f>SUMIFS($D$5:$D$104,$E$5:$E$104,3)</f>
        <v/>
      </c>
    </row>
    <row r="110">
      <c r="A110" s="18" t="inlineStr">
        <is>
          <t>April</t>
        </is>
      </c>
      <c r="B110" s="10" t="n"/>
      <c r="C110" s="10" t="n"/>
      <c r="D110" s="19">
        <f>SUMIFS($D$5:$D$104,$E$5:$E$104,4)</f>
        <v/>
      </c>
    </row>
    <row r="111">
      <c r="A111" s="18" t="inlineStr">
        <is>
          <t>May</t>
        </is>
      </c>
      <c r="B111" s="10" t="n"/>
      <c r="C111" s="10" t="n"/>
      <c r="D111" s="19">
        <f>SUMIFS($D$5:$D$104,$E$5:$E$104,5)</f>
        <v/>
      </c>
    </row>
    <row r="112">
      <c r="A112" s="18" t="inlineStr">
        <is>
          <t>June</t>
        </is>
      </c>
      <c r="B112" s="10" t="n"/>
      <c r="C112" s="10" t="n"/>
      <c r="D112" s="19">
        <f>SUMIFS($D$5:$D$104,$E$5:$E$104,6)</f>
        <v/>
      </c>
    </row>
    <row r="113">
      <c r="A113" s="18" t="inlineStr">
        <is>
          <t>July</t>
        </is>
      </c>
      <c r="B113" s="10" t="n"/>
      <c r="C113" s="10" t="n"/>
      <c r="D113" s="19">
        <f>SUMIFS($D$5:$D$104,$E$5:$E$104,7)</f>
        <v/>
      </c>
    </row>
    <row r="114">
      <c r="A114" s="18" t="inlineStr">
        <is>
          <t>August</t>
        </is>
      </c>
      <c r="B114" s="10" t="n"/>
      <c r="C114" s="10" t="n"/>
      <c r="D114" s="19">
        <f>SUMIFS($D$5:$D$104,$E$5:$E$104,8)</f>
        <v/>
      </c>
    </row>
    <row r="115">
      <c r="A115" s="18" t="inlineStr">
        <is>
          <t>September</t>
        </is>
      </c>
      <c r="B115" s="10" t="n"/>
      <c r="C115" s="10" t="n"/>
      <c r="D115" s="19">
        <f>SUMIFS($D$5:$D$104,$E$5:$E$104,9)</f>
        <v/>
      </c>
    </row>
    <row r="116">
      <c r="A116" s="18" t="inlineStr">
        <is>
          <t>October</t>
        </is>
      </c>
      <c r="B116" s="10" t="n"/>
      <c r="C116" s="10" t="n"/>
      <c r="D116" s="19">
        <f>SUMIFS($D$5:$D$104,$E$5:$E$104,10)</f>
        <v/>
      </c>
    </row>
    <row r="117">
      <c r="A117" s="18" t="inlineStr">
        <is>
          <t>November</t>
        </is>
      </c>
      <c r="B117" s="10" t="n"/>
      <c r="C117" s="10" t="n"/>
      <c r="D117" s="19">
        <f>SUMIFS($D$5:$D$104,$E$5:$E$104,11)</f>
        <v/>
      </c>
    </row>
    <row r="118">
      <c r="A118" s="18" t="inlineStr">
        <is>
          <t>December</t>
        </is>
      </c>
      <c r="B118" s="10" t="n"/>
      <c r="C118" s="10" t="n"/>
      <c r="D118" s="19">
        <f>SUMIFS($D$5:$D$104,$E$5:$E$104,12)</f>
        <v/>
      </c>
    </row>
    <row r="119">
      <c r="A119" s="12" t="inlineStr">
        <is>
          <t>All entries</t>
        </is>
      </c>
      <c r="B119" s="10" t="n"/>
      <c r="C119" s="10" t="n"/>
      <c r="D119" s="13">
        <f>SUM(D5:D104)</f>
        <v/>
      </c>
    </row>
    <row r="121">
      <c r="A121" s="6" t="inlineStr">
        <is>
          <t>TOTALS BY CATEGORY (AUTO)</t>
        </is>
      </c>
      <c r="B121" s="7" t="n"/>
      <c r="C121" s="7" t="n"/>
      <c r="D121" s="7" t="n"/>
    </row>
    <row r="122">
      <c r="A122" s="18" t="inlineStr">
        <is>
          <t>Groceries</t>
        </is>
      </c>
      <c r="B122" s="10" t="n"/>
      <c r="C122" s="10" t="n"/>
      <c r="D122" s="19">
        <f>SUMIF($C$5:$C$104,A122,$D$5:$D$104)</f>
        <v/>
      </c>
    </row>
    <row r="123">
      <c r="A123" s="18" t="inlineStr">
        <is>
          <t>Dining out</t>
        </is>
      </c>
      <c r="B123" s="10" t="n"/>
      <c r="C123" s="10" t="n"/>
      <c r="D123" s="19">
        <f>SUMIF($C$5:$C$104,A123,$D$5:$D$104)</f>
        <v/>
      </c>
    </row>
    <row r="124">
      <c r="A124" s="18" t="inlineStr">
        <is>
          <t>Transport</t>
        </is>
      </c>
      <c r="B124" s="10" t="n"/>
      <c r="C124" s="10" t="n"/>
      <c r="D124" s="19">
        <f>SUMIF($C$5:$C$104,A124,$D$5:$D$104)</f>
        <v/>
      </c>
    </row>
    <row r="125">
      <c r="A125" s="18" t="inlineStr">
        <is>
          <t>Home</t>
        </is>
      </c>
      <c r="B125" s="10" t="n"/>
      <c r="C125" s="10" t="n"/>
      <c r="D125" s="19">
        <f>SUMIF($C$5:$C$104,A125,$D$5:$D$104)</f>
        <v/>
      </c>
    </row>
    <row r="126">
      <c r="A126" s="18" t="inlineStr">
        <is>
          <t>Shopping</t>
        </is>
      </c>
      <c r="B126" s="10" t="n"/>
      <c r="C126" s="10" t="n"/>
      <c r="D126" s="19">
        <f>SUMIF($C$5:$C$104,A126,$D$5:$D$104)</f>
        <v/>
      </c>
    </row>
    <row r="127">
      <c r="A127" s="18" t="inlineStr">
        <is>
          <t>Entertainment</t>
        </is>
      </c>
      <c r="B127" s="10" t="n"/>
      <c r="C127" s="10" t="n"/>
      <c r="D127" s="19">
        <f>SUMIF($C$5:$C$104,A127,$D$5:$D$104)</f>
        <v/>
      </c>
    </row>
    <row r="128">
      <c r="A128" s="18" t="inlineStr">
        <is>
          <t>Health &amp; beauty</t>
        </is>
      </c>
      <c r="B128" s="10" t="n"/>
      <c r="C128" s="10" t="n"/>
      <c r="D128" s="19">
        <f>SUMIF($C$5:$C$104,A128,$D$5:$D$104)</f>
        <v/>
      </c>
    </row>
    <row r="129">
      <c r="A129" s="18" t="inlineStr">
        <is>
          <t>Personal</t>
        </is>
      </c>
      <c r="B129" s="10" t="n"/>
      <c r="C129" s="10" t="n"/>
      <c r="D129" s="19">
        <f>SUMIF($C$5:$C$104,A129,$D$5:$D$104)</f>
        <v/>
      </c>
    </row>
    <row r="130">
      <c r="A130" s="18" t="inlineStr">
        <is>
          <t>Gifts</t>
        </is>
      </c>
      <c r="B130" s="10" t="n"/>
      <c r="C130" s="10" t="n"/>
      <c r="D130" s="19">
        <f>SUMIF($C$5:$C$104,A130,$D$5:$D$104)</f>
        <v/>
      </c>
    </row>
    <row r="131">
      <c r="A131" s="18" t="inlineStr">
        <is>
          <t>Other</t>
        </is>
      </c>
      <c r="B131" s="10" t="n"/>
      <c r="C131" s="10" t="n"/>
      <c r="D131" s="19">
        <f>SUMIF($C$5:$C$104,A131,$D$5:$D$104)</f>
        <v/>
      </c>
    </row>
  </sheetData>
  <mergeCells count="27">
    <mergeCell ref="A128:C128"/>
    <mergeCell ref="A108:C108"/>
    <mergeCell ref="A118:C118"/>
    <mergeCell ref="A1:E1"/>
    <mergeCell ref="A113:C113"/>
    <mergeCell ref="A129:C129"/>
    <mergeCell ref="A116:C116"/>
    <mergeCell ref="A126:C126"/>
    <mergeCell ref="A131:C131"/>
    <mergeCell ref="A106:C106"/>
    <mergeCell ref="A122:C122"/>
    <mergeCell ref="A109:C109"/>
    <mergeCell ref="A125:C125"/>
    <mergeCell ref="A121:C121"/>
    <mergeCell ref="A115:C115"/>
    <mergeCell ref="A112:C112"/>
    <mergeCell ref="A2:E2"/>
    <mergeCell ref="A117:C117"/>
    <mergeCell ref="A111:C111"/>
    <mergeCell ref="A127:C127"/>
    <mergeCell ref="A130:C130"/>
    <mergeCell ref="A114:C114"/>
    <mergeCell ref="A107:C107"/>
    <mergeCell ref="A110:C110"/>
    <mergeCell ref="A123:C123"/>
    <mergeCell ref="A119:C119"/>
    <mergeCell ref="A124:C124"/>
  </mergeCells>
  <dataValidations count="1">
    <dataValidation sqref="C5:C104" showDropDown="0" showInputMessage="0" showErrorMessage="0" allowBlank="1" promptTitle="Category" prompt="Pick the closest category." type="list">
      <formula1>"Groceries,Dining out,Transport,Home,Shopping,Entertainment,Health &amp; beauty,Personal,Gifts,Other"</formula1>
    </dataValidation>
  </dataValidations>
  <pageMargins left="0.75" right="0.75" top="1" bottom="1" header="0.5" footer="0.5"/>
  <pageSetup orientation="portrait" fitToHeight="0" fitToWidth="1"/>
</worksheet>
</file>

<file path=xl/worksheets/sheet15.xml><?xml version="1.0" encoding="utf-8"?>
<worksheet xmlns="http://schemas.openxmlformats.org/spreadsheetml/2006/main">
  <sheetPr>
    <outlinePr summaryBelow="1" summaryRight="1"/>
    <pageSetUpPr fitToPage="1"/>
  </sheetPr>
  <dimension ref="A1:J15"/>
  <sheetViews>
    <sheetView workbookViewId="0">
      <pane ySplit="4" topLeftCell="A5" activePane="bottomLeft" state="frozen"/>
      <selection pane="bottomLeft" activeCell="A1" sqref="A1"/>
    </sheetView>
  </sheetViews>
  <sheetFormatPr baseColWidth="8" defaultRowHeight="15"/>
  <cols>
    <col width="24" customWidth="1" min="1" max="1"/>
    <col width="15" customWidth="1" min="2" max="2"/>
    <col width="13" customWidth="1" min="3" max="3"/>
    <col width="13" customWidth="1" min="4" max="4"/>
    <col width="9" customWidth="1" min="5" max="5"/>
    <col width="14" customWidth="1" min="6" max="6"/>
    <col width="13" customWidth="1" min="7" max="7"/>
    <col width="14" customWidth="1" min="8" max="8"/>
    <col width="16" customWidth="1" min="9" max="9"/>
    <col width="15" customWidth="1" min="10" max="10"/>
  </cols>
  <sheetData>
    <row r="1">
      <c r="A1" s="4" t="inlineStr">
        <is>
          <t>Debt Payoff Tracker</t>
        </is>
      </c>
    </row>
    <row r="2" ht="46" customHeight="1">
      <c r="A2" s="5" t="inlineStr">
        <is>
          <t>One row per debt. Type the first five columns; the sheet works out the balance left, your total monthly payment and an estimated time to clear each debt. Update "Paid so far" as you pay. Estimates assume the same payment every month and no new spending on the debt.</t>
        </is>
      </c>
    </row>
    <row r="4" ht="30" customHeight="1">
      <c r="A4" s="20" t="inlineStr">
        <is>
          <t>Debt</t>
        </is>
      </c>
      <c r="B4" s="20" t="inlineStr">
        <is>
          <t>Starting balance</t>
        </is>
      </c>
      <c r="C4" s="20" t="inlineStr">
        <is>
          <t>Paid so far</t>
        </is>
      </c>
      <c r="D4" s="20" t="inlineStr">
        <is>
          <t>Balance left</t>
        </is>
      </c>
      <c r="E4" s="20" t="inlineStr">
        <is>
          <t>APR</t>
        </is>
      </c>
      <c r="F4" s="20" t="inlineStr">
        <is>
          <t>Minimum payment</t>
        </is>
      </c>
      <c r="G4" s="20" t="inlineStr">
        <is>
          <t>Extra payment</t>
        </is>
      </c>
      <c r="H4" s="20" t="inlineStr">
        <is>
          <t>Monthly payment</t>
        </is>
      </c>
      <c r="I4" s="20" t="inlineStr">
        <is>
          <t>Est. months to clear</t>
        </is>
      </c>
      <c r="J4" s="20" t="inlineStr">
        <is>
          <t>Est. interest left</t>
        </is>
      </c>
    </row>
    <row r="5">
      <c r="A5" s="9" t="n"/>
      <c r="B5" s="11" t="n"/>
      <c r="C5" s="11" t="n"/>
      <c r="D5" s="19">
        <f>IF(B5="","",B5-IF(C5="",0,C5))</f>
        <v/>
      </c>
      <c r="E5" s="21" t="n"/>
      <c r="F5" s="11" t="n"/>
      <c r="G5" s="11" t="n"/>
      <c r="H5" s="19">
        <f>IF(B5="","",IF(F5="",0,F5)+IF(G5="",0,G5))</f>
        <v/>
      </c>
      <c r="I5" s="18">
        <f>IF(B5="","",IF(D5&lt;=0,"Paid off",IF(H5&lt;=0,"",IF(IF(E5="",0,E5)=0,ROUNDUP(D5/H5,0),IF(H5&lt;=D5*IF(E5="",0,E5)/12,"Payment too low",ROUNDUP(-LN(1-IF(E5="",0,E5)/12*D5/H5)/LN(1+IF(E5="",0,E5)/12),0))))))</f>
        <v/>
      </c>
      <c r="J5" s="19">
        <f>IF(ISNUMBER(I5),I5*H5-D5,"")</f>
        <v/>
      </c>
    </row>
    <row r="6">
      <c r="A6" s="9" t="n"/>
      <c r="B6" s="11" t="n"/>
      <c r="C6" s="11" t="n"/>
      <c r="D6" s="19">
        <f>IF(B6="","",B6-IF(C6="",0,C6))</f>
        <v/>
      </c>
      <c r="E6" s="21" t="n"/>
      <c r="F6" s="11" t="n"/>
      <c r="G6" s="11" t="n"/>
      <c r="H6" s="19">
        <f>IF(B6="","",IF(F6="",0,F6)+IF(G6="",0,G6))</f>
        <v/>
      </c>
      <c r="I6" s="18">
        <f>IF(B6="","",IF(D6&lt;=0,"Paid off",IF(H6&lt;=0,"",IF(IF(E6="",0,E6)=0,ROUNDUP(D6/H6,0),IF(H6&lt;=D6*IF(E6="",0,E6)/12,"Payment too low",ROUNDUP(-LN(1-IF(E6="",0,E6)/12*D6/H6)/LN(1+IF(E6="",0,E6)/12),0))))))</f>
        <v/>
      </c>
      <c r="J6" s="19">
        <f>IF(ISNUMBER(I6),I6*H6-D6,"")</f>
        <v/>
      </c>
    </row>
    <row r="7">
      <c r="A7" s="9" t="n"/>
      <c r="B7" s="11" t="n"/>
      <c r="C7" s="11" t="n"/>
      <c r="D7" s="19">
        <f>IF(B7="","",B7-IF(C7="",0,C7))</f>
        <v/>
      </c>
      <c r="E7" s="21" t="n"/>
      <c r="F7" s="11" t="n"/>
      <c r="G7" s="11" t="n"/>
      <c r="H7" s="19">
        <f>IF(B7="","",IF(F7="",0,F7)+IF(G7="",0,G7))</f>
        <v/>
      </c>
      <c r="I7" s="18">
        <f>IF(B7="","",IF(D7&lt;=0,"Paid off",IF(H7&lt;=0,"",IF(IF(E7="",0,E7)=0,ROUNDUP(D7/H7,0),IF(H7&lt;=D7*IF(E7="",0,E7)/12,"Payment too low",ROUNDUP(-LN(1-IF(E7="",0,E7)/12*D7/H7)/LN(1+IF(E7="",0,E7)/12),0))))))</f>
        <v/>
      </c>
      <c r="J7" s="19">
        <f>IF(ISNUMBER(I7),I7*H7-D7,"")</f>
        <v/>
      </c>
    </row>
    <row r="8">
      <c r="A8" s="9" t="n"/>
      <c r="B8" s="11" t="n"/>
      <c r="C8" s="11" t="n"/>
      <c r="D8" s="19">
        <f>IF(B8="","",B8-IF(C8="",0,C8))</f>
        <v/>
      </c>
      <c r="E8" s="21" t="n"/>
      <c r="F8" s="11" t="n"/>
      <c r="G8" s="11" t="n"/>
      <c r="H8" s="19">
        <f>IF(B8="","",IF(F8="",0,F8)+IF(G8="",0,G8))</f>
        <v/>
      </c>
      <c r="I8" s="18">
        <f>IF(B8="","",IF(D8&lt;=0,"Paid off",IF(H8&lt;=0,"",IF(IF(E8="",0,E8)=0,ROUNDUP(D8/H8,0),IF(H8&lt;=D8*IF(E8="",0,E8)/12,"Payment too low",ROUNDUP(-LN(1-IF(E8="",0,E8)/12*D8/H8)/LN(1+IF(E8="",0,E8)/12),0))))))</f>
        <v/>
      </c>
      <c r="J8" s="19">
        <f>IF(ISNUMBER(I8),I8*H8-D8,"")</f>
        <v/>
      </c>
    </row>
    <row r="9">
      <c r="A9" s="9" t="n"/>
      <c r="B9" s="11" t="n"/>
      <c r="C9" s="11" t="n"/>
      <c r="D9" s="19">
        <f>IF(B9="","",B9-IF(C9="",0,C9))</f>
        <v/>
      </c>
      <c r="E9" s="21" t="n"/>
      <c r="F9" s="11" t="n"/>
      <c r="G9" s="11" t="n"/>
      <c r="H9" s="19">
        <f>IF(B9="","",IF(F9="",0,F9)+IF(G9="",0,G9))</f>
        <v/>
      </c>
      <c r="I9" s="18">
        <f>IF(B9="","",IF(D9&lt;=0,"Paid off",IF(H9&lt;=0,"",IF(IF(E9="",0,E9)=0,ROUNDUP(D9/H9,0),IF(H9&lt;=D9*IF(E9="",0,E9)/12,"Payment too low",ROUNDUP(-LN(1-IF(E9="",0,E9)/12*D9/H9)/LN(1+IF(E9="",0,E9)/12),0))))))</f>
        <v/>
      </c>
      <c r="J9" s="19">
        <f>IF(ISNUMBER(I9),I9*H9-D9,"")</f>
        <v/>
      </c>
    </row>
    <row r="10">
      <c r="A10" s="9" t="n"/>
      <c r="B10" s="11" t="n"/>
      <c r="C10" s="11" t="n"/>
      <c r="D10" s="19">
        <f>IF(B10="","",B10-IF(C10="",0,C10))</f>
        <v/>
      </c>
      <c r="E10" s="21" t="n"/>
      <c r="F10" s="11" t="n"/>
      <c r="G10" s="11" t="n"/>
      <c r="H10" s="19">
        <f>IF(B10="","",IF(F10="",0,F10)+IF(G10="",0,G10))</f>
        <v/>
      </c>
      <c r="I10" s="18">
        <f>IF(B10="","",IF(D10&lt;=0,"Paid off",IF(H10&lt;=0,"",IF(IF(E10="",0,E10)=0,ROUNDUP(D10/H10,0),IF(H10&lt;=D10*IF(E10="",0,E10)/12,"Payment too low",ROUNDUP(-LN(1-IF(E10="",0,E10)/12*D10/H10)/LN(1+IF(E10="",0,E10)/12),0))))))</f>
        <v/>
      </c>
      <c r="J10" s="19">
        <f>IF(ISNUMBER(I10),I10*H10-D10,"")</f>
        <v/>
      </c>
    </row>
    <row r="11">
      <c r="A11" s="9" t="n"/>
      <c r="B11" s="11" t="n"/>
      <c r="C11" s="11" t="n"/>
      <c r="D11" s="19">
        <f>IF(B11="","",B11-IF(C11="",0,C11))</f>
        <v/>
      </c>
      <c r="E11" s="21" t="n"/>
      <c r="F11" s="11" t="n"/>
      <c r="G11" s="11" t="n"/>
      <c r="H11" s="19">
        <f>IF(B11="","",IF(F11="",0,F11)+IF(G11="",0,G11))</f>
        <v/>
      </c>
      <c r="I11" s="18">
        <f>IF(B11="","",IF(D11&lt;=0,"Paid off",IF(H11&lt;=0,"",IF(IF(E11="",0,E11)=0,ROUNDUP(D11/H11,0),IF(H11&lt;=D11*IF(E11="",0,E11)/12,"Payment too low",ROUNDUP(-LN(1-IF(E11="",0,E11)/12*D11/H11)/LN(1+IF(E11="",0,E11)/12),0))))))</f>
        <v/>
      </c>
      <c r="J11" s="19">
        <f>IF(ISNUMBER(I11),I11*H11-D11,"")</f>
        <v/>
      </c>
    </row>
    <row r="12">
      <c r="A12" s="9" t="n"/>
      <c r="B12" s="11" t="n"/>
      <c r="C12" s="11" t="n"/>
      <c r="D12" s="19">
        <f>IF(B12="","",B12-IF(C12="",0,C12))</f>
        <v/>
      </c>
      <c r="E12" s="21" t="n"/>
      <c r="F12" s="11" t="n"/>
      <c r="G12" s="11" t="n"/>
      <c r="H12" s="19">
        <f>IF(B12="","",IF(F12="",0,F12)+IF(G12="",0,G12))</f>
        <v/>
      </c>
      <c r="I12" s="18">
        <f>IF(B12="","",IF(D12&lt;=0,"Paid off",IF(H12&lt;=0,"",IF(IF(E12="",0,E12)=0,ROUNDUP(D12/H12,0),IF(H12&lt;=D12*IF(E12="",0,E12)/12,"Payment too low",ROUNDUP(-LN(1-IF(E12="",0,E12)/12*D12/H12)/LN(1+IF(E12="",0,E12)/12),0))))))</f>
        <v/>
      </c>
      <c r="J12" s="19">
        <f>IF(ISNUMBER(I12),I12*H12-D12,"")</f>
        <v/>
      </c>
    </row>
    <row r="13">
      <c r="A13" s="12" t="inlineStr">
        <is>
          <t>Totals</t>
        </is>
      </c>
      <c r="B13" s="13">
        <f>SUM(B5:B12)</f>
        <v/>
      </c>
      <c r="C13" s="13">
        <f>SUM(C5:C12)</f>
        <v/>
      </c>
      <c r="D13" s="13">
        <f>SUM(D5:D12)</f>
        <v/>
      </c>
      <c r="E13" s="10" t="n"/>
      <c r="F13" s="10" t="n"/>
      <c r="G13" s="10" t="n"/>
      <c r="H13" s="13">
        <f>SUM(H5:H12)</f>
        <v/>
      </c>
      <c r="I13" s="10" t="n"/>
      <c r="J13" s="10" t="n"/>
    </row>
    <row r="15">
      <c r="A15" s="22" t="inlineStr">
        <is>
          <t>Est. months and Est. interest left are estimates: they assume your payment stays the same and the APR does not change. The interest estimate counts the final month as a full payment, so it can read up to one payment higher than the exact figure.</t>
        </is>
      </c>
    </row>
  </sheetData>
  <mergeCells count="3">
    <mergeCell ref="A15:J15"/>
    <mergeCell ref="A1:J1"/>
    <mergeCell ref="A2:J2"/>
  </mergeCells>
  <pageMargins left="0.75" right="0.75" top="1" bottom="1" header="0.5" footer="0.5"/>
  <pageSetup orientation="landscape" fitToHeight="0" fitToWidth="1"/>
</worksheet>
</file>

<file path=xl/worksheets/sheet16.xml><?xml version="1.0" encoding="utf-8"?>
<worksheet xmlns="http://schemas.openxmlformats.org/spreadsheetml/2006/main">
  <sheetPr>
    <outlinePr summaryBelow="1" summaryRight="1"/>
    <pageSetUpPr fitToPage="1"/>
  </sheetPr>
  <dimension ref="A1:F18"/>
  <sheetViews>
    <sheetView workbookViewId="0">
      <pane ySplit="4" topLeftCell="A5" activePane="bottomLeft" state="frozen"/>
      <selection pane="bottomLeft" activeCell="A1" sqref="A1"/>
    </sheetView>
  </sheetViews>
  <sheetFormatPr baseColWidth="8" defaultRowHeight="15"/>
  <cols>
    <col width="16" customWidth="1" min="1" max="1"/>
    <col width="15" customWidth="1" min="2" max="2"/>
    <col width="15" customWidth="1" min="3" max="3"/>
    <col width="15" customWidth="1" min="4" max="4"/>
    <col width="15" customWidth="1" min="5" max="5"/>
    <col width="15" customWidth="1" min="6" max="6"/>
  </cols>
  <sheetData>
    <row r="1">
      <c r="A1" s="4" t="inlineStr">
        <is>
          <t>Year at a Glance</t>
        </is>
      </c>
    </row>
    <row r="2" ht="26" customHeight="1">
      <c r="A2" s="5" t="inlineStr">
        <is>
          <t>This page fills itself from the twelve month pages — there is nothing to type here. It shows Actual figures.</t>
        </is>
      </c>
    </row>
    <row r="4">
      <c r="A4" s="6" t="inlineStr">
        <is>
          <t>Month</t>
        </is>
      </c>
      <c r="B4" s="6" t="inlineStr">
        <is>
          <t>Income</t>
        </is>
      </c>
      <c r="C4" s="6" t="inlineStr">
        <is>
          <t>Bills</t>
        </is>
      </c>
      <c r="D4" s="6" t="inlineStr">
        <is>
          <t>Variable spending</t>
        </is>
      </c>
      <c r="E4" s="6" t="inlineStr">
        <is>
          <t>Savings</t>
        </is>
      </c>
      <c r="F4" s="6" t="inlineStr">
        <is>
          <t>Left over</t>
        </is>
      </c>
    </row>
    <row r="5">
      <c r="A5" s="18" t="inlineStr">
        <is>
          <t>January</t>
        </is>
      </c>
      <c r="B5" s="19">
        <f>'Jan'!D9</f>
        <v/>
      </c>
      <c r="C5" s="19">
        <f>'Jan'!D22</f>
        <v/>
      </c>
      <c r="D5" s="19">
        <f>'Jan'!D35</f>
        <v/>
      </c>
      <c r="E5" s="19">
        <f>'Jan'!D42</f>
        <v/>
      </c>
      <c r="F5" s="19">
        <f>'Jan'!D48</f>
        <v/>
      </c>
    </row>
    <row r="6">
      <c r="A6" s="18" t="inlineStr">
        <is>
          <t>February</t>
        </is>
      </c>
      <c r="B6" s="19">
        <f>'Feb'!D9</f>
        <v/>
      </c>
      <c r="C6" s="19">
        <f>'Feb'!D22</f>
        <v/>
      </c>
      <c r="D6" s="19">
        <f>'Feb'!D35</f>
        <v/>
      </c>
      <c r="E6" s="19">
        <f>'Feb'!D42</f>
        <v/>
      </c>
      <c r="F6" s="19">
        <f>'Feb'!D48</f>
        <v/>
      </c>
    </row>
    <row r="7">
      <c r="A7" s="18" t="inlineStr">
        <is>
          <t>March</t>
        </is>
      </c>
      <c r="B7" s="19">
        <f>'Mar'!D9</f>
        <v/>
      </c>
      <c r="C7" s="19">
        <f>'Mar'!D22</f>
        <v/>
      </c>
      <c r="D7" s="19">
        <f>'Mar'!D35</f>
        <v/>
      </c>
      <c r="E7" s="19">
        <f>'Mar'!D42</f>
        <v/>
      </c>
      <c r="F7" s="19">
        <f>'Mar'!D48</f>
        <v/>
      </c>
    </row>
    <row r="8">
      <c r="A8" s="18" t="inlineStr">
        <is>
          <t>April</t>
        </is>
      </c>
      <c r="B8" s="19">
        <f>'Apr'!D9</f>
        <v/>
      </c>
      <c r="C8" s="19">
        <f>'Apr'!D22</f>
        <v/>
      </c>
      <c r="D8" s="19">
        <f>'Apr'!D35</f>
        <v/>
      </c>
      <c r="E8" s="19">
        <f>'Apr'!D42</f>
        <v/>
      </c>
      <c r="F8" s="19">
        <f>'Apr'!D48</f>
        <v/>
      </c>
    </row>
    <row r="9">
      <c r="A9" s="18" t="inlineStr">
        <is>
          <t>May</t>
        </is>
      </c>
      <c r="B9" s="19">
        <f>'May'!D9</f>
        <v/>
      </c>
      <c r="C9" s="19">
        <f>'May'!D22</f>
        <v/>
      </c>
      <c r="D9" s="19">
        <f>'May'!D35</f>
        <v/>
      </c>
      <c r="E9" s="19">
        <f>'May'!D42</f>
        <v/>
      </c>
      <c r="F9" s="19">
        <f>'May'!D48</f>
        <v/>
      </c>
    </row>
    <row r="10">
      <c r="A10" s="18" t="inlineStr">
        <is>
          <t>June</t>
        </is>
      </c>
      <c r="B10" s="19">
        <f>'Jun'!D9</f>
        <v/>
      </c>
      <c r="C10" s="19">
        <f>'Jun'!D22</f>
        <v/>
      </c>
      <c r="D10" s="19">
        <f>'Jun'!D35</f>
        <v/>
      </c>
      <c r="E10" s="19">
        <f>'Jun'!D42</f>
        <v/>
      </c>
      <c r="F10" s="19">
        <f>'Jun'!D48</f>
        <v/>
      </c>
    </row>
    <row r="11">
      <c r="A11" s="18" t="inlineStr">
        <is>
          <t>July</t>
        </is>
      </c>
      <c r="B11" s="19">
        <f>'Jul'!D9</f>
        <v/>
      </c>
      <c r="C11" s="19">
        <f>'Jul'!D22</f>
        <v/>
      </c>
      <c r="D11" s="19">
        <f>'Jul'!D35</f>
        <v/>
      </c>
      <c r="E11" s="19">
        <f>'Jul'!D42</f>
        <v/>
      </c>
      <c r="F11" s="19">
        <f>'Jul'!D48</f>
        <v/>
      </c>
    </row>
    <row r="12">
      <c r="A12" s="18" t="inlineStr">
        <is>
          <t>August</t>
        </is>
      </c>
      <c r="B12" s="19">
        <f>'Aug'!D9</f>
        <v/>
      </c>
      <c r="C12" s="19">
        <f>'Aug'!D22</f>
        <v/>
      </c>
      <c r="D12" s="19">
        <f>'Aug'!D35</f>
        <v/>
      </c>
      <c r="E12" s="19">
        <f>'Aug'!D42</f>
        <v/>
      </c>
      <c r="F12" s="19">
        <f>'Aug'!D48</f>
        <v/>
      </c>
    </row>
    <row r="13">
      <c r="A13" s="18" t="inlineStr">
        <is>
          <t>September</t>
        </is>
      </c>
      <c r="B13" s="19">
        <f>'Sep'!D9</f>
        <v/>
      </c>
      <c r="C13" s="19">
        <f>'Sep'!D22</f>
        <v/>
      </c>
      <c r="D13" s="19">
        <f>'Sep'!D35</f>
        <v/>
      </c>
      <c r="E13" s="19">
        <f>'Sep'!D42</f>
        <v/>
      </c>
      <c r="F13" s="19">
        <f>'Sep'!D48</f>
        <v/>
      </c>
    </row>
    <row r="14">
      <c r="A14" s="18" t="inlineStr">
        <is>
          <t>October</t>
        </is>
      </c>
      <c r="B14" s="19">
        <f>'Oct'!D9</f>
        <v/>
      </c>
      <c r="C14" s="19">
        <f>'Oct'!D22</f>
        <v/>
      </c>
      <c r="D14" s="19">
        <f>'Oct'!D35</f>
        <v/>
      </c>
      <c r="E14" s="19">
        <f>'Oct'!D42</f>
        <v/>
      </c>
      <c r="F14" s="19">
        <f>'Oct'!D48</f>
        <v/>
      </c>
    </row>
    <row r="15">
      <c r="A15" s="18" t="inlineStr">
        <is>
          <t>November</t>
        </is>
      </c>
      <c r="B15" s="19">
        <f>'Nov'!D9</f>
        <v/>
      </c>
      <c r="C15" s="19">
        <f>'Nov'!D22</f>
        <v/>
      </c>
      <c r="D15" s="19">
        <f>'Nov'!D35</f>
        <v/>
      </c>
      <c r="E15" s="19">
        <f>'Nov'!D42</f>
        <v/>
      </c>
      <c r="F15" s="19">
        <f>'Nov'!D48</f>
        <v/>
      </c>
    </row>
    <row r="16">
      <c r="A16" s="18" t="inlineStr">
        <is>
          <t>December</t>
        </is>
      </c>
      <c r="B16" s="19">
        <f>'Dec'!D9</f>
        <v/>
      </c>
      <c r="C16" s="19">
        <f>'Dec'!D22</f>
        <v/>
      </c>
      <c r="D16" s="19">
        <f>'Dec'!D35</f>
        <v/>
      </c>
      <c r="E16" s="19">
        <f>'Dec'!D42</f>
        <v/>
      </c>
      <c r="F16" s="19">
        <f>'Dec'!D48</f>
        <v/>
      </c>
    </row>
    <row r="17">
      <c r="A17" s="12" t="inlineStr">
        <is>
          <t>Year total</t>
        </is>
      </c>
      <c r="B17" s="13">
        <f>SUM(B5:B16)</f>
        <v/>
      </c>
      <c r="C17" s="13">
        <f>SUM(C5:C16)</f>
        <v/>
      </c>
      <c r="D17" s="13">
        <f>SUM(D5:D16)</f>
        <v/>
      </c>
      <c r="E17" s="13">
        <f>SUM(E5:E16)</f>
        <v/>
      </c>
      <c r="F17" s="13">
        <f>SUM(F5:F16)</f>
        <v/>
      </c>
    </row>
    <row r="18">
      <c r="A18" s="12" t="inlineStr">
        <is>
          <t>Monthly average</t>
        </is>
      </c>
      <c r="B18" s="19">
        <f>AVERAGE(B5:B16)</f>
        <v/>
      </c>
      <c r="C18" s="19">
        <f>AVERAGE(C5:C16)</f>
        <v/>
      </c>
      <c r="D18" s="19">
        <f>AVERAGE(D5:D16)</f>
        <v/>
      </c>
      <c r="E18" s="19">
        <f>AVERAGE(E5:E16)</f>
        <v/>
      </c>
      <c r="F18" s="19">
        <f>AVERAGE(F5:F16)</f>
        <v/>
      </c>
    </row>
  </sheetData>
  <mergeCells count="2">
    <mergeCell ref="A2:F2"/>
    <mergeCell ref="A1:F1"/>
  </mergeCells>
  <pageMargins left="0.75" right="0.75" top="1" bottom="1" header="0.5" footer="0.5"/>
  <pageSetup orientation="portrait" fitToHeight="0" fitToWidth="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2026-10-24T03:07:07+00:00Z</dcterms:created>
  <dcterms:modified xmlns:dcterms="http://purl.org/dc/terms/" xmlns:xsi="http://www.w3.org/2001/XMLSchema-instance" xsi:type="dcterms:W3CDTF">2026-10-24T03:07:07+00:00Z</dcterms:modified>
</cp:coreProperties>
</file>