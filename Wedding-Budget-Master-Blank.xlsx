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ategory Budget" sheetId="3" state="visible" r:id="rId3"/>
    <sheet xmlns:r="http://schemas.openxmlformats.org/officeDocument/2006/relationships" name="Vendor Payments" sheetId="4" state="visible" r:id="rId4"/>
    <sheet xmlns:r="http://schemas.openxmlformats.org/officeDocument/2006/relationships" name="Payment Summary" sheetId="5" state="visible" r:id="rId5"/>
    <sheet xmlns:r="http://schemas.openxmlformats.org/officeDocument/2006/relationships" name="Payment Schedule" sheetId="6" state="visible" r:id="rId6"/>
    <sheet xmlns:r="http://schemas.openxmlformats.org/officeDocument/2006/relationships" name="Budget vs Actual" sheetId="7" state="visible" r:id="rId7"/>
    <sheet xmlns:r="http://schemas.openxmlformats.org/officeDocument/2006/relationships" name="Custom &amp; Notes" sheetId="8" state="visible" r:id="rId8"/>
  </sheets>
  <definedNames>
    <definedName name="_xlnm._FilterDatabase" localSheetId="3" hidden="1">'Vendor Payments'!$A$1:$H$81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7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1"/>
    </font>
    <font>
      <sz val="10"/>
    </font>
    <font>
      <b val="1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thin"/>
    </border>
    <border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164" fontId="2" fillId="2" borderId="0" pivotButton="0" quotePrefix="0" xfId="0"/>
    <xf numFmtId="165" fontId="2" fillId="2" borderId="0" pivotButton="0" quotePrefix="0" xfId="0"/>
    <xf numFmtId="0" fontId="3" fillId="3" borderId="0" pivotButton="0" quotePrefix="0" xfId="0"/>
    <xf numFmtId="0" fontId="2" fillId="0" borderId="0" pivotButton="0" quotePrefix="0" xfId="0"/>
    <xf numFmtId="9" fontId="2" fillId="2" borderId="0" pivotButton="0" quotePrefix="0" xfId="0"/>
    <xf numFmtId="164" fontId="2" fillId="0" borderId="0" pivotButton="0" quotePrefix="0" xfId="0"/>
    <xf numFmtId="0" fontId="3" fillId="0" borderId="1" pivotButton="0" quotePrefix="0" xfId="0"/>
    <xf numFmtId="9" fontId="3" fillId="0" borderId="1" pivotButton="0" quotePrefix="0" xfId="0"/>
    <xf numFmtId="164" fontId="3" fillId="0" borderId="1" pivotButton="0" quotePrefix="0" xfId="0"/>
    <xf numFmtId="0" fontId="6" fillId="0" borderId="0" applyAlignment="1" pivotButton="0" quotePrefix="0" xfId="0">
      <alignment vertical="top" wrapText="1"/>
    </xf>
    <xf numFmtId="9" fontId="2" fillId="0" borderId="0" pivotButton="0" quotePrefix="0" xfId="0"/>
    <xf numFmtId="0" fontId="2" fillId="2" borderId="0" pivotButton="0" quotePrefix="0" xfId="0"/>
    <xf numFmtId="164" fontId="3" fillId="0" borderId="0" pivotButton="0" quotePrefix="0" xfId="0"/>
    <xf numFmtId="0" fontId="6" fillId="0" borderId="0" pivotButton="0" quotePrefix="0" xfId="0"/>
    <xf numFmtId="165" fontId="2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17" customHeight="1">
      <c r="A1" s="1" t="inlineStr">
        <is>
          <t>Wedding Budget Planner — Start Here</t>
        </is>
      </c>
    </row>
    <row r="2" ht="32" customHeight="1">
      <c r="A2" s="2" t="inlineStr">
        <is>
          <t>Read this first. This workbook tracks a wedding budget: one total budget, split across categories, with vendor payments and paid / pending totals.</t>
        </is>
      </c>
    </row>
    <row r="3" ht="17" customHeight="1">
      <c r="A3" s="3" t="inlineStr">
        <is>
          <t>Get your own copy</t>
        </is>
      </c>
    </row>
    <row r="4" ht="17" customHeight="1">
      <c r="A4" s="2" t="inlineStr">
        <is>
          <t>1. Open the copy link that comes with this file.</t>
        </is>
      </c>
    </row>
    <row r="5" ht="17" customHeight="1">
      <c r="A5" s="2" t="inlineStr">
        <is>
          <t>2. Choose Make a copy. The copy goes to your own Google Drive.</t>
        </is>
      </c>
    </row>
    <row r="6" ht="17" customHeight="1">
      <c r="A6" s="2" t="inlineStr">
        <is>
          <t>3. Edit your copy, not the original.</t>
        </is>
      </c>
    </row>
    <row r="7" ht="17" customHeight="1">
      <c r="A7" s="2" t="inlineStr">
        <is>
          <t>No seller account is needed; using a Google Sheets online copy usually needs a Google account.</t>
        </is>
      </c>
    </row>
    <row r="8" ht="17" customHeight="1">
      <c r="A8" s="3" t="inlineStr">
        <is>
          <t>Fill in this order</t>
        </is>
      </c>
    </row>
    <row r="9" ht="17" customHeight="1">
      <c r="A9" s="2" t="inlineStr">
        <is>
          <t>1. Overview: enter your Total Budget and Wedding Date.</t>
        </is>
      </c>
    </row>
    <row r="10" ht="17" customHeight="1">
      <c r="A10" s="2" t="inlineStr">
        <is>
          <t>2. Overview: check the category shares. Change a share on Overview only; Category Budget follows Overview.</t>
        </is>
      </c>
    </row>
    <row r="11" ht="32" customHeight="1">
      <c r="A11" s="2" t="inlineStr">
        <is>
          <t>3. Vendor Payments: add one row per payment. Enter the vendor, category, item, amount, due date, and status (Paid or Pending).</t>
        </is>
      </c>
    </row>
    <row r="12" ht="17" customHeight="1">
      <c r="A12" s="2" t="inlineStr">
        <is>
          <t>4. Check Payment Summary, Payment Schedule, and Budget vs Actual. They calculate from your entries.</t>
        </is>
      </c>
    </row>
    <row r="13" ht="17" customHeight="1">
      <c r="A13" s="3" t="inlineStr">
        <is>
          <t>How the numbers work</t>
        </is>
      </c>
    </row>
    <row r="14" ht="17" customHeight="1">
      <c r="A14" s="2" t="inlineStr">
        <is>
          <t>Shaded cells are inputs. All other cells calculate automatically; do not type over a formula cell.</t>
        </is>
      </c>
    </row>
    <row r="15" ht="17" customHeight="1">
      <c r="A15" s="2" t="inlineStr">
        <is>
          <t>Type category names exactly as shown on Category Budget, or the sums will miss that row.</t>
        </is>
      </c>
    </row>
    <row r="16" ht="17" customHeight="1">
      <c r="A16" s="2" t="inlineStr">
        <is>
          <t>Status must be Paid or Pending. Use the dropdown in the Status column.</t>
        </is>
      </c>
    </row>
    <row r="17" ht="32" customHeight="1">
      <c r="A17" s="2" t="inlineStr">
        <is>
          <t>On Overview, Remaining means budget not yet committed to any payment. On Payment Summary, Remaining to Pay means budget not yet paid. The two numbers answer different questions.</t>
        </is>
      </c>
    </row>
    <row r="18" ht="32" customHeight="1">
      <c r="A18" s="2" t="inlineStr">
        <is>
          <t>On Payment Schedule, Days to Due counts from today; a negative number means the due date has passed. Rows appear in the order entered on Vendor Payments; enter rows in due-date order, or sort that tab by Due Date.</t>
        </is>
      </c>
    </row>
    <row r="19" ht="32" customHeight="1">
      <c r="A19" s="2" t="inlineStr">
        <is>
          <t>On Custom &amp; Notes you can add your own categories and a contingency reserve. Contingency is a reserve, not spending, and is not included in Paid or Pending totals.</t>
        </is>
      </c>
    </row>
    <row r="20" ht="17" customHeight="1">
      <c r="A20" s="3" t="inlineStr">
        <is>
          <t>Example file</t>
        </is>
      </c>
    </row>
    <row r="21" ht="32" customHeight="1">
      <c r="A21" s="2" t="inlineStr">
        <is>
          <t>A filled example is provided separately: Wedding-Budget-Filled-Example-Fictional.xlsx. All figures in the example are fictional and only show how to fill in the sheets.</t>
        </is>
      </c>
    </row>
    <row r="22" ht="17" customHeight="1">
      <c r="A22" s="3" t="inlineStr">
        <is>
          <t>FAQ</t>
        </is>
      </c>
    </row>
    <row r="23" ht="17" customHeight="1">
      <c r="A23" s="2" t="inlineStr">
        <is>
          <t>See the FAQ section on the listing page where you got this file.</t>
        </is>
      </c>
    </row>
    <row r="24" ht="17" customHeight="1">
      <c r="A24" s="3" t="inlineStr">
        <is>
          <t>Print companion</t>
        </is>
      </c>
    </row>
    <row r="25" ht="32" customHeight="1">
      <c r="A25" s="2" t="inlineStr">
        <is>
          <t>A 24-page print companion (A4 and Letter) comes with this workbook for checklists and paper lists. The spreadsheet calculates totals; the print pages are for paper use.</t>
        </is>
      </c>
    </row>
    <row r="26" ht="17" customHeight="1">
      <c r="A26" s="3" t="inlineStr">
        <is>
          <t>Keep your own copy</t>
        </is>
      </c>
    </row>
    <row r="27" ht="32" customHeight="1">
      <c r="A27" s="2" t="inlineStr">
        <is>
          <t>Keep the file in your own Google Drive and export a backup yourself — it does not depend on a seller subscription service.</t>
        </is>
      </c>
    </row>
    <row r="28" ht="32" customHeight="1">
      <c r="A28" s="4" t="inlineStr">
        <is>
          <t>Figures you enter are your own estimates. This workbook records and totals them; it does not set prices or payment terms.</t>
        </is>
      </c>
    </row>
  </sheetData>
  <mergeCells count="28">
    <mergeCell ref="A16:F16"/>
    <mergeCell ref="A27:F27"/>
    <mergeCell ref="A12:F12"/>
    <mergeCell ref="A18:F18"/>
    <mergeCell ref="A3:F3"/>
    <mergeCell ref="A21:F21"/>
    <mergeCell ref="A26:F26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28:F28"/>
    <mergeCell ref="A13:F13"/>
    <mergeCell ref="A19:F19"/>
    <mergeCell ref="A9:F9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</cols>
  <sheetData>
    <row r="1">
      <c r="A1" s="5" t="inlineStr">
        <is>
          <t>Wedding Budget — Overview</t>
        </is>
      </c>
    </row>
    <row r="2">
      <c r="A2" s="6" t="inlineStr">
        <is>
          <t>Total Budget ($)</t>
        </is>
      </c>
      <c r="B2" s="7" t="n"/>
    </row>
    <row r="3">
      <c r="A3" s="6" t="inlineStr">
        <is>
          <t>Wedding Date</t>
        </is>
      </c>
      <c r="B3" s="8" t="n"/>
    </row>
    <row r="5">
      <c r="A5" s="9" t="inlineStr">
        <is>
          <t>Category</t>
        </is>
      </c>
      <c r="B5" s="9" t="inlineStr">
        <is>
          <t>Share</t>
        </is>
      </c>
      <c r="C5" s="9" t="inlineStr">
        <is>
          <t>Allocated ($)</t>
        </is>
      </c>
    </row>
    <row r="6">
      <c r="A6" s="10" t="inlineStr">
        <is>
          <t>Venue &amp; Rentals</t>
        </is>
      </c>
      <c r="B6" s="11" t="n">
        <v>0.12</v>
      </c>
      <c r="C6" s="12">
        <f>IF(OR($B$2="",B6=""),"",ROUND($B$2*B6,2))</f>
        <v/>
      </c>
    </row>
    <row r="7">
      <c r="A7" s="10" t="inlineStr">
        <is>
          <t>Catering &amp; Beverages</t>
        </is>
      </c>
      <c r="B7" s="11" t="n">
        <v>0.28</v>
      </c>
      <c r="C7" s="12">
        <f>IF(OR($B$2="",B7=""),"",ROUND($B$2*B7,2))</f>
        <v/>
      </c>
    </row>
    <row r="8">
      <c r="A8" s="10" t="inlineStr">
        <is>
          <t>Photography</t>
        </is>
      </c>
      <c r="B8" s="11" t="n">
        <v>0.1</v>
      </c>
      <c r="C8" s="12">
        <f>IF(OR($B$2="",B8=""),"",ROUND($B$2*B8,2))</f>
        <v/>
      </c>
    </row>
    <row r="9">
      <c r="A9" s="10" t="inlineStr">
        <is>
          <t>Videography</t>
        </is>
      </c>
      <c r="B9" s="11" t="n">
        <v>0.07000000000000001</v>
      </c>
      <c r="C9" s="12">
        <f>IF(OR($B$2="",B9=""),"",ROUND($B$2*B9,2))</f>
        <v/>
      </c>
    </row>
    <row r="10">
      <c r="A10" s="10" t="inlineStr">
        <is>
          <t>Music &amp; Entertainment</t>
        </is>
      </c>
      <c r="B10" s="11" t="n">
        <v>0.08</v>
      </c>
      <c r="C10" s="12">
        <f>IF(OR($B$2="",B10=""),"",ROUND($B$2*B10,2))</f>
        <v/>
      </c>
    </row>
    <row r="11">
      <c r="A11" s="10" t="inlineStr">
        <is>
          <t>Flowers &amp; Decor</t>
        </is>
      </c>
      <c r="B11" s="11" t="n">
        <v>0.08</v>
      </c>
      <c r="C11" s="12">
        <f>IF(OR($B$2="",B11=""),"",ROUND($B$2*B11,2))</f>
        <v/>
      </c>
    </row>
    <row r="12">
      <c r="A12" s="10" t="inlineStr">
        <is>
          <t>Attire &amp; Accessories</t>
        </is>
      </c>
      <c r="B12" s="11" t="n">
        <v>0.07000000000000001</v>
      </c>
      <c r="C12" s="12">
        <f>IF(OR($B$2="",B12=""),"",ROUND($B$2*B12,2))</f>
        <v/>
      </c>
    </row>
    <row r="13">
      <c r="A13" s="10" t="inlineStr">
        <is>
          <t>Rings &amp; Jewelry</t>
        </is>
      </c>
      <c r="B13" s="11" t="n">
        <v>0.03</v>
      </c>
      <c r="C13" s="12">
        <f>IF(OR($B$2="",B13=""),"",ROUND($B$2*B13,2))</f>
        <v/>
      </c>
    </row>
    <row r="14">
      <c r="A14" s="10" t="inlineStr">
        <is>
          <t>Stationery &amp; Invitations</t>
        </is>
      </c>
      <c r="B14" s="11" t="n">
        <v>0.03</v>
      </c>
      <c r="C14" s="12">
        <f>IF(OR($B$2="",B14=""),"",ROUND($B$2*B14,2))</f>
        <v/>
      </c>
    </row>
    <row r="15">
      <c r="A15" s="10" t="inlineStr">
        <is>
          <t>Cake &amp; Desserts</t>
        </is>
      </c>
      <c r="B15" s="11" t="n">
        <v>0.02</v>
      </c>
      <c r="C15" s="12">
        <f>IF(OR($B$2="",B15=""),"",ROUND($B$2*B15,2))</f>
        <v/>
      </c>
    </row>
    <row r="16">
      <c r="A16" s="10" t="inlineStr">
        <is>
          <t>Transportation</t>
        </is>
      </c>
      <c r="B16" s="11" t="n">
        <v>0.02</v>
      </c>
      <c r="C16" s="12">
        <f>IF(OR($B$2="",B16=""),"",ROUND($B$2*B16,2))</f>
        <v/>
      </c>
    </row>
    <row r="17">
      <c r="A17" s="10" t="inlineStr">
        <is>
          <t>Officiant &amp; Ceremony</t>
        </is>
      </c>
      <c r="B17" s="11" t="n">
        <v>0.02</v>
      </c>
      <c r="C17" s="12">
        <f>IF(OR($B$2="",B17=""),"",ROUND($B$2*B17,2))</f>
        <v/>
      </c>
    </row>
    <row r="18">
      <c r="A18" s="10" t="inlineStr">
        <is>
          <t>Hair &amp; Makeup</t>
        </is>
      </c>
      <c r="B18" s="11" t="n">
        <v>0.02</v>
      </c>
      <c r="C18" s="12">
        <f>IF(OR($B$2="",B18=""),"",ROUND($B$2*B18,2))</f>
        <v/>
      </c>
    </row>
    <row r="19">
      <c r="A19" s="10" t="inlineStr">
        <is>
          <t>Favors &amp; Gifts</t>
        </is>
      </c>
      <c r="B19" s="11" t="n">
        <v>0.02</v>
      </c>
      <c r="C19" s="12">
        <f>IF(OR($B$2="",B19=""),"",ROUND($B$2*B19,2))</f>
        <v/>
      </c>
    </row>
    <row r="20">
      <c r="A20" s="10" t="inlineStr">
        <is>
          <t>Rehearsal Dinner</t>
        </is>
      </c>
      <c r="B20" s="11" t="n">
        <v>0.04</v>
      </c>
      <c r="C20" s="12">
        <f>IF(OR($B$2="",B20=""),"",ROUND($B$2*B20,2))</f>
        <v/>
      </c>
    </row>
    <row r="21">
      <c r="A21" s="13" t="inlineStr">
        <is>
          <t>Total</t>
        </is>
      </c>
      <c r="B21" s="14">
        <f>SUM(B6:B20)</f>
        <v/>
      </c>
      <c r="C21" s="15">
        <f>SUM(C6:C20)</f>
        <v/>
      </c>
    </row>
    <row r="23">
      <c r="A23" s="6" t="inlineStr">
        <is>
          <t>Totals from Vendor Payments</t>
        </is>
      </c>
    </row>
    <row r="24">
      <c r="A24" s="10" t="inlineStr">
        <is>
          <t>Total Paid ($)</t>
        </is>
      </c>
      <c r="B24" s="12">
        <f>SUMIF('Vendor Payments'!$F$2:$F$81,"Paid",'Vendor Payments'!$D$2:$D$81)</f>
        <v/>
      </c>
    </row>
    <row r="25">
      <c r="A25" s="10" t="inlineStr">
        <is>
          <t>Total Pending ($)</t>
        </is>
      </c>
      <c r="B25" s="12">
        <f>SUMIF('Vendor Payments'!$F$2:$F$81,"Pending",'Vendor Payments'!$D$2:$D$81)</f>
        <v/>
      </c>
    </row>
    <row r="26">
      <c r="A26" s="10" t="inlineStr">
        <is>
          <t>Remaining — not yet committed ($)</t>
        </is>
      </c>
      <c r="B26" s="12">
        <f>IF(B2="","",B2-B24-B25)</f>
        <v/>
      </c>
    </row>
    <row r="27" ht="30" customHeight="1">
      <c r="A27" s="16" t="inlineStr">
        <is>
          <t>Remaining here means budget not yet committed to any payment. See Payment Summary for Remaining to Pay.</t>
        </is>
      </c>
    </row>
  </sheetData>
  <mergeCells count="1">
    <mergeCell ref="A27:C27"/>
  </mergeCells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Category Budget</t>
        </is>
      </c>
    </row>
    <row r="2">
      <c r="A2" s="9" t="inlineStr">
        <is>
          <t>Category</t>
        </is>
      </c>
      <c r="B2" s="9" t="inlineStr">
        <is>
          <t>Share</t>
        </is>
      </c>
      <c r="C2" s="9" t="inlineStr">
        <is>
          <t>Budgeted ($)</t>
        </is>
      </c>
      <c r="D2" s="9" t="inlineStr">
        <is>
          <t>Paid ($)</t>
        </is>
      </c>
      <c r="E2" s="9" t="inlineStr">
        <is>
          <t>Pending ($)</t>
        </is>
      </c>
      <c r="F2" s="9" t="inlineStr">
        <is>
          <t>Remaining ($)</t>
        </is>
      </c>
    </row>
    <row r="3">
      <c r="A3" s="10" t="inlineStr">
        <is>
          <t>Venue &amp; Rentals</t>
        </is>
      </c>
      <c r="B3" s="17">
        <f>Overview!B6</f>
        <v/>
      </c>
      <c r="C3" s="12">
        <f>IF(OR(Overview!$B$2="",B3=""),"",ROUND(Overview!$B$2*B3,2))</f>
        <v/>
      </c>
      <c r="D3" s="12">
        <f>SUMIFS('Vendor Payments'!$D$2:$D$81,'Vendor Payments'!$B$2:$B$81,$A3,'Vendor Payments'!$F$2:$F$81,"Paid")</f>
        <v/>
      </c>
      <c r="E3" s="12">
        <f>SUMIFS('Vendor Payments'!$D$2:$D$81,'Vendor Payments'!$B$2:$B$81,$A3,'Vendor Payments'!$F$2:$F$81,"Pending")</f>
        <v/>
      </c>
      <c r="F3" s="12">
        <f>IF(C3="","",C3-D3)</f>
        <v/>
      </c>
    </row>
    <row r="4">
      <c r="A4" s="10" t="inlineStr">
        <is>
          <t>Catering &amp; Beverages</t>
        </is>
      </c>
      <c r="B4" s="17">
        <f>Overview!B7</f>
        <v/>
      </c>
      <c r="C4" s="12">
        <f>IF(OR(Overview!$B$2="",B4=""),"",ROUND(Overview!$B$2*B4,2))</f>
        <v/>
      </c>
      <c r="D4" s="12">
        <f>SUMIFS('Vendor Payments'!$D$2:$D$81,'Vendor Payments'!$B$2:$B$81,$A4,'Vendor Payments'!$F$2:$F$81,"Paid")</f>
        <v/>
      </c>
      <c r="E4" s="12">
        <f>SUMIFS('Vendor Payments'!$D$2:$D$81,'Vendor Payments'!$B$2:$B$81,$A4,'Vendor Payments'!$F$2:$F$81,"Pending")</f>
        <v/>
      </c>
      <c r="F4" s="12">
        <f>IF(C4="","",C4-D4)</f>
        <v/>
      </c>
    </row>
    <row r="5">
      <c r="A5" s="10" t="inlineStr">
        <is>
          <t>Photography</t>
        </is>
      </c>
      <c r="B5" s="17">
        <f>Overview!B8</f>
        <v/>
      </c>
      <c r="C5" s="12">
        <f>IF(OR(Overview!$B$2="",B5=""),"",ROUND(Overview!$B$2*B5,2))</f>
        <v/>
      </c>
      <c r="D5" s="12">
        <f>SUMIFS('Vendor Payments'!$D$2:$D$81,'Vendor Payments'!$B$2:$B$81,$A5,'Vendor Payments'!$F$2:$F$81,"Paid")</f>
        <v/>
      </c>
      <c r="E5" s="12">
        <f>SUMIFS('Vendor Payments'!$D$2:$D$81,'Vendor Payments'!$B$2:$B$81,$A5,'Vendor Payments'!$F$2:$F$81,"Pending")</f>
        <v/>
      </c>
      <c r="F5" s="12">
        <f>IF(C5="","",C5-D5)</f>
        <v/>
      </c>
    </row>
    <row r="6">
      <c r="A6" s="10" t="inlineStr">
        <is>
          <t>Videography</t>
        </is>
      </c>
      <c r="B6" s="17">
        <f>Overview!B9</f>
        <v/>
      </c>
      <c r="C6" s="12">
        <f>IF(OR(Overview!$B$2="",B6=""),"",ROUND(Overview!$B$2*B6,2))</f>
        <v/>
      </c>
      <c r="D6" s="12">
        <f>SUMIFS('Vendor Payments'!$D$2:$D$81,'Vendor Payments'!$B$2:$B$81,$A6,'Vendor Payments'!$F$2:$F$81,"Paid")</f>
        <v/>
      </c>
      <c r="E6" s="12">
        <f>SUMIFS('Vendor Payments'!$D$2:$D$81,'Vendor Payments'!$B$2:$B$81,$A6,'Vendor Payments'!$F$2:$F$81,"Pending")</f>
        <v/>
      </c>
      <c r="F6" s="12">
        <f>IF(C6="","",C6-D6)</f>
        <v/>
      </c>
    </row>
    <row r="7">
      <c r="A7" s="10" t="inlineStr">
        <is>
          <t>Music &amp; Entertainment</t>
        </is>
      </c>
      <c r="B7" s="17">
        <f>Overview!B10</f>
        <v/>
      </c>
      <c r="C7" s="12">
        <f>IF(OR(Overview!$B$2="",B7=""),"",ROUND(Overview!$B$2*B7,2))</f>
        <v/>
      </c>
      <c r="D7" s="12">
        <f>SUMIFS('Vendor Payments'!$D$2:$D$81,'Vendor Payments'!$B$2:$B$81,$A7,'Vendor Payments'!$F$2:$F$81,"Paid")</f>
        <v/>
      </c>
      <c r="E7" s="12">
        <f>SUMIFS('Vendor Payments'!$D$2:$D$81,'Vendor Payments'!$B$2:$B$81,$A7,'Vendor Payments'!$F$2:$F$81,"Pending")</f>
        <v/>
      </c>
      <c r="F7" s="12">
        <f>IF(C7="","",C7-D7)</f>
        <v/>
      </c>
    </row>
    <row r="8">
      <c r="A8" s="10" t="inlineStr">
        <is>
          <t>Flowers &amp; Decor</t>
        </is>
      </c>
      <c r="B8" s="17">
        <f>Overview!B11</f>
        <v/>
      </c>
      <c r="C8" s="12">
        <f>IF(OR(Overview!$B$2="",B8=""),"",ROUND(Overview!$B$2*B8,2))</f>
        <v/>
      </c>
      <c r="D8" s="12">
        <f>SUMIFS('Vendor Payments'!$D$2:$D$81,'Vendor Payments'!$B$2:$B$81,$A8,'Vendor Payments'!$F$2:$F$81,"Paid")</f>
        <v/>
      </c>
      <c r="E8" s="12">
        <f>SUMIFS('Vendor Payments'!$D$2:$D$81,'Vendor Payments'!$B$2:$B$81,$A8,'Vendor Payments'!$F$2:$F$81,"Pending")</f>
        <v/>
      </c>
      <c r="F8" s="12">
        <f>IF(C8="","",C8-D8)</f>
        <v/>
      </c>
    </row>
    <row r="9">
      <c r="A9" s="10" t="inlineStr">
        <is>
          <t>Attire &amp; Accessories</t>
        </is>
      </c>
      <c r="B9" s="17">
        <f>Overview!B12</f>
        <v/>
      </c>
      <c r="C9" s="12">
        <f>IF(OR(Overview!$B$2="",B9=""),"",ROUND(Overview!$B$2*B9,2))</f>
        <v/>
      </c>
      <c r="D9" s="12">
        <f>SUMIFS('Vendor Payments'!$D$2:$D$81,'Vendor Payments'!$B$2:$B$81,$A9,'Vendor Payments'!$F$2:$F$81,"Paid")</f>
        <v/>
      </c>
      <c r="E9" s="12">
        <f>SUMIFS('Vendor Payments'!$D$2:$D$81,'Vendor Payments'!$B$2:$B$81,$A9,'Vendor Payments'!$F$2:$F$81,"Pending")</f>
        <v/>
      </c>
      <c r="F9" s="12">
        <f>IF(C9="","",C9-D9)</f>
        <v/>
      </c>
    </row>
    <row r="10">
      <c r="A10" s="10" t="inlineStr">
        <is>
          <t>Rings &amp; Jewelry</t>
        </is>
      </c>
      <c r="B10" s="17">
        <f>Overview!B13</f>
        <v/>
      </c>
      <c r="C10" s="12">
        <f>IF(OR(Overview!$B$2="",B10=""),"",ROUND(Overview!$B$2*B10,2))</f>
        <v/>
      </c>
      <c r="D10" s="12">
        <f>SUMIFS('Vendor Payments'!$D$2:$D$81,'Vendor Payments'!$B$2:$B$81,$A10,'Vendor Payments'!$F$2:$F$81,"Paid")</f>
        <v/>
      </c>
      <c r="E10" s="12">
        <f>SUMIFS('Vendor Payments'!$D$2:$D$81,'Vendor Payments'!$B$2:$B$81,$A10,'Vendor Payments'!$F$2:$F$81,"Pending")</f>
        <v/>
      </c>
      <c r="F10" s="12">
        <f>IF(C10="","",C10-D10)</f>
        <v/>
      </c>
    </row>
    <row r="11">
      <c r="A11" s="10" t="inlineStr">
        <is>
          <t>Stationery &amp; Invitations</t>
        </is>
      </c>
      <c r="B11" s="17">
        <f>Overview!B14</f>
        <v/>
      </c>
      <c r="C11" s="12">
        <f>IF(OR(Overview!$B$2="",B11=""),"",ROUND(Overview!$B$2*B11,2))</f>
        <v/>
      </c>
      <c r="D11" s="12">
        <f>SUMIFS('Vendor Payments'!$D$2:$D$81,'Vendor Payments'!$B$2:$B$81,$A11,'Vendor Payments'!$F$2:$F$81,"Paid")</f>
        <v/>
      </c>
      <c r="E11" s="12">
        <f>SUMIFS('Vendor Payments'!$D$2:$D$81,'Vendor Payments'!$B$2:$B$81,$A11,'Vendor Payments'!$F$2:$F$81,"Pending")</f>
        <v/>
      </c>
      <c r="F11" s="12">
        <f>IF(C11="","",C11-D11)</f>
        <v/>
      </c>
    </row>
    <row r="12">
      <c r="A12" s="10" t="inlineStr">
        <is>
          <t>Cake &amp; Desserts</t>
        </is>
      </c>
      <c r="B12" s="17">
        <f>Overview!B15</f>
        <v/>
      </c>
      <c r="C12" s="12">
        <f>IF(OR(Overview!$B$2="",B12=""),"",ROUND(Overview!$B$2*B12,2))</f>
        <v/>
      </c>
      <c r="D12" s="12">
        <f>SUMIFS('Vendor Payments'!$D$2:$D$81,'Vendor Payments'!$B$2:$B$81,$A12,'Vendor Payments'!$F$2:$F$81,"Paid")</f>
        <v/>
      </c>
      <c r="E12" s="12">
        <f>SUMIFS('Vendor Payments'!$D$2:$D$81,'Vendor Payments'!$B$2:$B$81,$A12,'Vendor Payments'!$F$2:$F$81,"Pending")</f>
        <v/>
      </c>
      <c r="F12" s="12">
        <f>IF(C12="","",C12-D12)</f>
        <v/>
      </c>
    </row>
    <row r="13">
      <c r="A13" s="10" t="inlineStr">
        <is>
          <t>Transportation</t>
        </is>
      </c>
      <c r="B13" s="17">
        <f>Overview!B16</f>
        <v/>
      </c>
      <c r="C13" s="12">
        <f>IF(OR(Overview!$B$2="",B13=""),"",ROUND(Overview!$B$2*B13,2))</f>
        <v/>
      </c>
      <c r="D13" s="12">
        <f>SUMIFS('Vendor Payments'!$D$2:$D$81,'Vendor Payments'!$B$2:$B$81,$A13,'Vendor Payments'!$F$2:$F$81,"Paid")</f>
        <v/>
      </c>
      <c r="E13" s="12">
        <f>SUMIFS('Vendor Payments'!$D$2:$D$81,'Vendor Payments'!$B$2:$B$81,$A13,'Vendor Payments'!$F$2:$F$81,"Pending")</f>
        <v/>
      </c>
      <c r="F13" s="12">
        <f>IF(C13="","",C13-D13)</f>
        <v/>
      </c>
    </row>
    <row r="14">
      <c r="A14" s="10" t="inlineStr">
        <is>
          <t>Officiant &amp; Ceremony</t>
        </is>
      </c>
      <c r="B14" s="17">
        <f>Overview!B17</f>
        <v/>
      </c>
      <c r="C14" s="12">
        <f>IF(OR(Overview!$B$2="",B14=""),"",ROUND(Overview!$B$2*B14,2))</f>
        <v/>
      </c>
      <c r="D14" s="12">
        <f>SUMIFS('Vendor Payments'!$D$2:$D$81,'Vendor Payments'!$B$2:$B$81,$A14,'Vendor Payments'!$F$2:$F$81,"Paid")</f>
        <v/>
      </c>
      <c r="E14" s="12">
        <f>SUMIFS('Vendor Payments'!$D$2:$D$81,'Vendor Payments'!$B$2:$B$81,$A14,'Vendor Payments'!$F$2:$F$81,"Pending")</f>
        <v/>
      </c>
      <c r="F14" s="12">
        <f>IF(C14="","",C14-D14)</f>
        <v/>
      </c>
    </row>
    <row r="15">
      <c r="A15" s="10" t="inlineStr">
        <is>
          <t>Hair &amp; Makeup</t>
        </is>
      </c>
      <c r="B15" s="17">
        <f>Overview!B18</f>
        <v/>
      </c>
      <c r="C15" s="12">
        <f>IF(OR(Overview!$B$2="",B15=""),"",ROUND(Overview!$B$2*B15,2))</f>
        <v/>
      </c>
      <c r="D15" s="12">
        <f>SUMIFS('Vendor Payments'!$D$2:$D$81,'Vendor Payments'!$B$2:$B$81,$A15,'Vendor Payments'!$F$2:$F$81,"Paid")</f>
        <v/>
      </c>
      <c r="E15" s="12">
        <f>SUMIFS('Vendor Payments'!$D$2:$D$81,'Vendor Payments'!$B$2:$B$81,$A15,'Vendor Payments'!$F$2:$F$81,"Pending")</f>
        <v/>
      </c>
      <c r="F15" s="12">
        <f>IF(C15="","",C15-D15)</f>
        <v/>
      </c>
    </row>
    <row r="16">
      <c r="A16" s="10" t="inlineStr">
        <is>
          <t>Favors &amp; Gifts</t>
        </is>
      </c>
      <c r="B16" s="17">
        <f>Overview!B19</f>
        <v/>
      </c>
      <c r="C16" s="12">
        <f>IF(OR(Overview!$B$2="",B16=""),"",ROUND(Overview!$B$2*B16,2))</f>
        <v/>
      </c>
      <c r="D16" s="12">
        <f>SUMIFS('Vendor Payments'!$D$2:$D$81,'Vendor Payments'!$B$2:$B$81,$A16,'Vendor Payments'!$F$2:$F$81,"Paid")</f>
        <v/>
      </c>
      <c r="E16" s="12">
        <f>SUMIFS('Vendor Payments'!$D$2:$D$81,'Vendor Payments'!$B$2:$B$81,$A16,'Vendor Payments'!$F$2:$F$81,"Pending")</f>
        <v/>
      </c>
      <c r="F16" s="12">
        <f>IF(C16="","",C16-D16)</f>
        <v/>
      </c>
    </row>
    <row r="17">
      <c r="A17" s="10" t="inlineStr">
        <is>
          <t>Rehearsal Dinner</t>
        </is>
      </c>
      <c r="B17" s="17">
        <f>Overview!B20</f>
        <v/>
      </c>
      <c r="C17" s="12">
        <f>IF(OR(Overview!$B$2="",B17=""),"",ROUND(Overview!$B$2*B17,2))</f>
        <v/>
      </c>
      <c r="D17" s="12">
        <f>SUMIFS('Vendor Payments'!$D$2:$D$81,'Vendor Payments'!$B$2:$B$81,$A17,'Vendor Payments'!$F$2:$F$81,"Paid")</f>
        <v/>
      </c>
      <c r="E17" s="12">
        <f>SUMIFS('Vendor Payments'!$D$2:$D$81,'Vendor Payments'!$B$2:$B$81,$A17,'Vendor Payments'!$F$2:$F$81,"Pending")</f>
        <v/>
      </c>
      <c r="F17" s="12">
        <f>IF(C17="","",C17-D17)</f>
        <v/>
      </c>
    </row>
    <row r="18">
      <c r="A18" s="13" t="inlineStr">
        <is>
          <t>Total</t>
        </is>
      </c>
      <c r="B18" s="14">
        <f>SUM(B3:B17)</f>
        <v/>
      </c>
      <c r="C18" s="15">
        <f>SUM(C3:C17)</f>
        <v/>
      </c>
      <c r="D18" s="15">
        <f>SUM(D3:D17)</f>
        <v/>
      </c>
      <c r="E18" s="15">
        <f>SUM(E3:E17)</f>
        <v/>
      </c>
      <c r="F18" s="15">
        <f>SUM(F3:F17)</f>
        <v/>
      </c>
    </row>
    <row r="20" ht="30" customHeight="1">
      <c r="A20" s="16" t="inlineStr">
        <is>
          <t>Paid counts payments marked Paid. Pending amounts are shown separately and are not deducted from Remaining. Change shares on Overview only.</t>
        </is>
      </c>
    </row>
  </sheetData>
  <mergeCells count="1">
    <mergeCell ref="A20:F20"/>
  </mergeCells>
  <pageMargins left="0.75" right="0.75" top="1" bottom="1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13" customWidth="1" min="4" max="4"/>
    <col width="13" customWidth="1" min="5" max="5"/>
    <col width="11" customWidth="1" min="6" max="6"/>
    <col width="26" customWidth="1" min="7" max="7"/>
    <col width="11" customWidth="1" min="8" max="8"/>
  </cols>
  <sheetData>
    <row r="1">
      <c r="A1" s="9" t="inlineStr">
        <is>
          <t>Vendor</t>
        </is>
      </c>
      <c r="B1" s="9" t="inlineStr">
        <is>
          <t>Category</t>
        </is>
      </c>
      <c r="C1" s="9" t="inlineStr">
        <is>
          <t>Item</t>
        </is>
      </c>
      <c r="D1" s="9" t="inlineStr">
        <is>
          <t>Amount ($)</t>
        </is>
      </c>
      <c r="E1" s="9" t="inlineStr">
        <is>
          <t>Due Date</t>
        </is>
      </c>
      <c r="F1" s="9" t="inlineStr">
        <is>
          <t>Status</t>
        </is>
      </c>
      <c r="G1" s="9" t="inlineStr">
        <is>
          <t>Notes</t>
        </is>
      </c>
      <c r="H1" s="9" t="inlineStr">
        <is>
          <t>Flag</t>
        </is>
      </c>
    </row>
    <row r="2">
      <c r="A2" s="18" t="n"/>
      <c r="B2" s="18" t="n"/>
      <c r="C2" s="18" t="n"/>
      <c r="D2" s="7" t="n"/>
      <c r="E2" s="8" t="n"/>
      <c r="F2" s="18" t="n"/>
      <c r="G2" s="18" t="n"/>
      <c r="H2" s="10">
        <f>IF(AND(E2&lt;&gt;"",E2&lt;TODAY(),F2="Pending"),"Overdue","")</f>
        <v/>
      </c>
    </row>
    <row r="3">
      <c r="A3" s="18" t="n"/>
      <c r="B3" s="18" t="n"/>
      <c r="C3" s="18" t="n"/>
      <c r="D3" s="7" t="n"/>
      <c r="E3" s="8" t="n"/>
      <c r="F3" s="18" t="n"/>
      <c r="G3" s="18" t="n"/>
      <c r="H3" s="10">
        <f>IF(AND(E3&lt;&gt;"",E3&lt;TODAY(),F3="Pending"),"Overdue","")</f>
        <v/>
      </c>
    </row>
    <row r="4">
      <c r="A4" s="18" t="n"/>
      <c r="B4" s="18" t="n"/>
      <c r="C4" s="18" t="n"/>
      <c r="D4" s="7" t="n"/>
      <c r="E4" s="8" t="n"/>
      <c r="F4" s="18" t="n"/>
      <c r="G4" s="18" t="n"/>
      <c r="H4" s="10">
        <f>IF(AND(E4&lt;&gt;"",E4&lt;TODAY(),F4="Pending"),"Overdue","")</f>
        <v/>
      </c>
    </row>
    <row r="5">
      <c r="A5" s="18" t="n"/>
      <c r="B5" s="18" t="n"/>
      <c r="C5" s="18" t="n"/>
      <c r="D5" s="7" t="n"/>
      <c r="E5" s="8" t="n"/>
      <c r="F5" s="18" t="n"/>
      <c r="G5" s="18" t="n"/>
      <c r="H5" s="10">
        <f>IF(AND(E5&lt;&gt;"",E5&lt;TODAY(),F5="Pending"),"Overdue","")</f>
        <v/>
      </c>
    </row>
    <row r="6">
      <c r="A6" s="18" t="n"/>
      <c r="B6" s="18" t="n"/>
      <c r="C6" s="18" t="n"/>
      <c r="D6" s="7" t="n"/>
      <c r="E6" s="8" t="n"/>
      <c r="F6" s="18" t="n"/>
      <c r="G6" s="18" t="n"/>
      <c r="H6" s="10">
        <f>IF(AND(E6&lt;&gt;"",E6&lt;TODAY(),F6="Pending"),"Overdue","")</f>
        <v/>
      </c>
    </row>
    <row r="7">
      <c r="A7" s="18" t="n"/>
      <c r="B7" s="18" t="n"/>
      <c r="C7" s="18" t="n"/>
      <c r="D7" s="7" t="n"/>
      <c r="E7" s="8" t="n"/>
      <c r="F7" s="18" t="n"/>
      <c r="G7" s="18" t="n"/>
      <c r="H7" s="10">
        <f>IF(AND(E7&lt;&gt;"",E7&lt;TODAY(),F7="Pending"),"Overdue","")</f>
        <v/>
      </c>
    </row>
    <row r="8">
      <c r="A8" s="18" t="n"/>
      <c r="B8" s="18" t="n"/>
      <c r="C8" s="18" t="n"/>
      <c r="D8" s="7" t="n"/>
      <c r="E8" s="8" t="n"/>
      <c r="F8" s="18" t="n"/>
      <c r="G8" s="18" t="n"/>
      <c r="H8" s="10">
        <f>IF(AND(E8&lt;&gt;"",E8&lt;TODAY(),F8="Pending"),"Overdue","")</f>
        <v/>
      </c>
    </row>
    <row r="9">
      <c r="A9" s="18" t="n"/>
      <c r="B9" s="18" t="n"/>
      <c r="C9" s="18" t="n"/>
      <c r="D9" s="7" t="n"/>
      <c r="E9" s="8" t="n"/>
      <c r="F9" s="18" t="n"/>
      <c r="G9" s="18" t="n"/>
      <c r="H9" s="10">
        <f>IF(AND(E9&lt;&gt;"",E9&lt;TODAY(),F9="Pending"),"Overdue","")</f>
        <v/>
      </c>
    </row>
    <row r="10">
      <c r="A10" s="18" t="n"/>
      <c r="B10" s="18" t="n"/>
      <c r="C10" s="18" t="n"/>
      <c r="D10" s="7" t="n"/>
      <c r="E10" s="8" t="n"/>
      <c r="F10" s="18" t="n"/>
      <c r="G10" s="18" t="n"/>
      <c r="H10" s="10">
        <f>IF(AND(E10&lt;&gt;"",E10&lt;TODAY(),F10="Pending"),"Overdue","")</f>
        <v/>
      </c>
    </row>
    <row r="11">
      <c r="A11" s="18" t="n"/>
      <c r="B11" s="18" t="n"/>
      <c r="C11" s="18" t="n"/>
      <c r="D11" s="7" t="n"/>
      <c r="E11" s="8" t="n"/>
      <c r="F11" s="18" t="n"/>
      <c r="G11" s="18" t="n"/>
      <c r="H11" s="10">
        <f>IF(AND(E11&lt;&gt;"",E11&lt;TODAY(),F11="Pending"),"Overdue","")</f>
        <v/>
      </c>
    </row>
    <row r="12">
      <c r="A12" s="18" t="n"/>
      <c r="B12" s="18" t="n"/>
      <c r="C12" s="18" t="n"/>
      <c r="D12" s="7" t="n"/>
      <c r="E12" s="8" t="n"/>
      <c r="F12" s="18" t="n"/>
      <c r="G12" s="18" t="n"/>
      <c r="H12" s="10">
        <f>IF(AND(E12&lt;&gt;"",E12&lt;TODAY(),F12="Pending"),"Overdue","")</f>
        <v/>
      </c>
    </row>
    <row r="13">
      <c r="A13" s="18" t="n"/>
      <c r="B13" s="18" t="n"/>
      <c r="C13" s="18" t="n"/>
      <c r="D13" s="7" t="n"/>
      <c r="E13" s="8" t="n"/>
      <c r="F13" s="18" t="n"/>
      <c r="G13" s="18" t="n"/>
      <c r="H13" s="10">
        <f>IF(AND(E13&lt;&gt;"",E13&lt;TODAY(),F13="Pending"),"Overdue","")</f>
        <v/>
      </c>
    </row>
    <row r="14">
      <c r="A14" s="18" t="n"/>
      <c r="B14" s="18" t="n"/>
      <c r="C14" s="18" t="n"/>
      <c r="D14" s="7" t="n"/>
      <c r="E14" s="8" t="n"/>
      <c r="F14" s="18" t="n"/>
      <c r="G14" s="18" t="n"/>
      <c r="H14" s="10">
        <f>IF(AND(E14&lt;&gt;"",E14&lt;TODAY(),F14="Pending"),"Overdue","")</f>
        <v/>
      </c>
    </row>
    <row r="15">
      <c r="A15" s="18" t="n"/>
      <c r="B15" s="18" t="n"/>
      <c r="C15" s="18" t="n"/>
      <c r="D15" s="7" t="n"/>
      <c r="E15" s="8" t="n"/>
      <c r="F15" s="18" t="n"/>
      <c r="G15" s="18" t="n"/>
      <c r="H15" s="10">
        <f>IF(AND(E15&lt;&gt;"",E15&lt;TODAY(),F15="Pending"),"Overdue","")</f>
        <v/>
      </c>
    </row>
    <row r="16">
      <c r="A16" s="18" t="n"/>
      <c r="B16" s="18" t="n"/>
      <c r="C16" s="18" t="n"/>
      <c r="D16" s="7" t="n"/>
      <c r="E16" s="8" t="n"/>
      <c r="F16" s="18" t="n"/>
      <c r="G16" s="18" t="n"/>
      <c r="H16" s="10">
        <f>IF(AND(E16&lt;&gt;"",E16&lt;TODAY(),F16="Pending"),"Overdue","")</f>
        <v/>
      </c>
    </row>
    <row r="17">
      <c r="A17" s="18" t="n"/>
      <c r="B17" s="18" t="n"/>
      <c r="C17" s="18" t="n"/>
      <c r="D17" s="7" t="n"/>
      <c r="E17" s="8" t="n"/>
      <c r="F17" s="18" t="n"/>
      <c r="G17" s="18" t="n"/>
      <c r="H17" s="10">
        <f>IF(AND(E17&lt;&gt;"",E17&lt;TODAY(),F17="Pending"),"Overdue","")</f>
        <v/>
      </c>
    </row>
    <row r="18">
      <c r="A18" s="18" t="n"/>
      <c r="B18" s="18" t="n"/>
      <c r="C18" s="18" t="n"/>
      <c r="D18" s="7" t="n"/>
      <c r="E18" s="8" t="n"/>
      <c r="F18" s="18" t="n"/>
      <c r="G18" s="18" t="n"/>
      <c r="H18" s="10">
        <f>IF(AND(E18&lt;&gt;"",E18&lt;TODAY(),F18="Pending"),"Overdue","")</f>
        <v/>
      </c>
    </row>
    <row r="19">
      <c r="A19" s="18" t="n"/>
      <c r="B19" s="18" t="n"/>
      <c r="C19" s="18" t="n"/>
      <c r="D19" s="7" t="n"/>
      <c r="E19" s="8" t="n"/>
      <c r="F19" s="18" t="n"/>
      <c r="G19" s="18" t="n"/>
      <c r="H19" s="10">
        <f>IF(AND(E19&lt;&gt;"",E19&lt;TODAY(),F19="Pending"),"Overdue","")</f>
        <v/>
      </c>
    </row>
    <row r="20">
      <c r="A20" s="18" t="n"/>
      <c r="B20" s="18" t="n"/>
      <c r="C20" s="18" t="n"/>
      <c r="D20" s="7" t="n"/>
      <c r="E20" s="8" t="n"/>
      <c r="F20" s="18" t="n"/>
      <c r="G20" s="18" t="n"/>
      <c r="H20" s="10">
        <f>IF(AND(E20&lt;&gt;"",E20&lt;TODAY(),F20="Pending"),"Overdue","")</f>
        <v/>
      </c>
    </row>
    <row r="21">
      <c r="A21" s="18" t="n"/>
      <c r="B21" s="18" t="n"/>
      <c r="C21" s="18" t="n"/>
      <c r="D21" s="7" t="n"/>
      <c r="E21" s="8" t="n"/>
      <c r="F21" s="18" t="n"/>
      <c r="G21" s="18" t="n"/>
      <c r="H21" s="10">
        <f>IF(AND(E21&lt;&gt;"",E21&lt;TODAY(),F21="Pending"),"Overdue","")</f>
        <v/>
      </c>
    </row>
    <row r="22">
      <c r="A22" s="18" t="n"/>
      <c r="B22" s="18" t="n"/>
      <c r="C22" s="18" t="n"/>
      <c r="D22" s="7" t="n"/>
      <c r="E22" s="8" t="n"/>
      <c r="F22" s="18" t="n"/>
      <c r="G22" s="18" t="n"/>
      <c r="H22" s="10">
        <f>IF(AND(E22&lt;&gt;"",E22&lt;TODAY(),F22="Pending"),"Overdue","")</f>
        <v/>
      </c>
    </row>
    <row r="23">
      <c r="A23" s="18" t="n"/>
      <c r="B23" s="18" t="n"/>
      <c r="C23" s="18" t="n"/>
      <c r="D23" s="7" t="n"/>
      <c r="E23" s="8" t="n"/>
      <c r="F23" s="18" t="n"/>
      <c r="G23" s="18" t="n"/>
      <c r="H23" s="10">
        <f>IF(AND(E23&lt;&gt;"",E23&lt;TODAY(),F23="Pending"),"Overdue","")</f>
        <v/>
      </c>
    </row>
    <row r="24">
      <c r="A24" s="18" t="n"/>
      <c r="B24" s="18" t="n"/>
      <c r="C24" s="18" t="n"/>
      <c r="D24" s="7" t="n"/>
      <c r="E24" s="8" t="n"/>
      <c r="F24" s="18" t="n"/>
      <c r="G24" s="18" t="n"/>
      <c r="H24" s="10">
        <f>IF(AND(E24&lt;&gt;"",E24&lt;TODAY(),F24="Pending"),"Overdue","")</f>
        <v/>
      </c>
    </row>
    <row r="25">
      <c r="A25" s="18" t="n"/>
      <c r="B25" s="18" t="n"/>
      <c r="C25" s="18" t="n"/>
      <c r="D25" s="7" t="n"/>
      <c r="E25" s="8" t="n"/>
      <c r="F25" s="18" t="n"/>
      <c r="G25" s="18" t="n"/>
      <c r="H25" s="10">
        <f>IF(AND(E25&lt;&gt;"",E25&lt;TODAY(),F25="Pending"),"Overdue","")</f>
        <v/>
      </c>
    </row>
    <row r="26">
      <c r="A26" s="18" t="n"/>
      <c r="B26" s="18" t="n"/>
      <c r="C26" s="18" t="n"/>
      <c r="D26" s="7" t="n"/>
      <c r="E26" s="8" t="n"/>
      <c r="F26" s="18" t="n"/>
      <c r="G26" s="18" t="n"/>
      <c r="H26" s="10">
        <f>IF(AND(E26&lt;&gt;"",E26&lt;TODAY(),F26="Pending"),"Overdue","")</f>
        <v/>
      </c>
    </row>
    <row r="27">
      <c r="A27" s="18" t="n"/>
      <c r="B27" s="18" t="n"/>
      <c r="C27" s="18" t="n"/>
      <c r="D27" s="7" t="n"/>
      <c r="E27" s="8" t="n"/>
      <c r="F27" s="18" t="n"/>
      <c r="G27" s="18" t="n"/>
      <c r="H27" s="10">
        <f>IF(AND(E27&lt;&gt;"",E27&lt;TODAY(),F27="Pending"),"Overdue","")</f>
        <v/>
      </c>
    </row>
    <row r="28">
      <c r="A28" s="18" t="n"/>
      <c r="B28" s="18" t="n"/>
      <c r="C28" s="18" t="n"/>
      <c r="D28" s="7" t="n"/>
      <c r="E28" s="8" t="n"/>
      <c r="F28" s="18" t="n"/>
      <c r="G28" s="18" t="n"/>
      <c r="H28" s="10">
        <f>IF(AND(E28&lt;&gt;"",E28&lt;TODAY(),F28="Pending"),"Overdue","")</f>
        <v/>
      </c>
    </row>
    <row r="29">
      <c r="A29" s="18" t="n"/>
      <c r="B29" s="18" t="n"/>
      <c r="C29" s="18" t="n"/>
      <c r="D29" s="7" t="n"/>
      <c r="E29" s="8" t="n"/>
      <c r="F29" s="18" t="n"/>
      <c r="G29" s="18" t="n"/>
      <c r="H29" s="10">
        <f>IF(AND(E29&lt;&gt;"",E29&lt;TODAY(),F29="Pending"),"Overdue","")</f>
        <v/>
      </c>
    </row>
    <row r="30">
      <c r="A30" s="18" t="n"/>
      <c r="B30" s="18" t="n"/>
      <c r="C30" s="18" t="n"/>
      <c r="D30" s="7" t="n"/>
      <c r="E30" s="8" t="n"/>
      <c r="F30" s="18" t="n"/>
      <c r="G30" s="18" t="n"/>
      <c r="H30" s="10">
        <f>IF(AND(E30&lt;&gt;"",E30&lt;TODAY(),F30="Pending"),"Overdue","")</f>
        <v/>
      </c>
    </row>
    <row r="31">
      <c r="A31" s="18" t="n"/>
      <c r="B31" s="18" t="n"/>
      <c r="C31" s="18" t="n"/>
      <c r="D31" s="7" t="n"/>
      <c r="E31" s="8" t="n"/>
      <c r="F31" s="18" t="n"/>
      <c r="G31" s="18" t="n"/>
      <c r="H31" s="10">
        <f>IF(AND(E31&lt;&gt;"",E31&lt;TODAY(),F31="Pending"),"Overdue","")</f>
        <v/>
      </c>
    </row>
    <row r="32">
      <c r="A32" s="18" t="n"/>
      <c r="B32" s="18" t="n"/>
      <c r="C32" s="18" t="n"/>
      <c r="D32" s="7" t="n"/>
      <c r="E32" s="8" t="n"/>
      <c r="F32" s="18" t="n"/>
      <c r="G32" s="18" t="n"/>
      <c r="H32" s="10">
        <f>IF(AND(E32&lt;&gt;"",E32&lt;TODAY(),F32="Pending"),"Overdue","")</f>
        <v/>
      </c>
    </row>
    <row r="33">
      <c r="A33" s="18" t="n"/>
      <c r="B33" s="18" t="n"/>
      <c r="C33" s="18" t="n"/>
      <c r="D33" s="7" t="n"/>
      <c r="E33" s="8" t="n"/>
      <c r="F33" s="18" t="n"/>
      <c r="G33" s="18" t="n"/>
      <c r="H33" s="10">
        <f>IF(AND(E33&lt;&gt;"",E33&lt;TODAY(),F33="Pending"),"Overdue","")</f>
        <v/>
      </c>
    </row>
    <row r="34">
      <c r="A34" s="18" t="n"/>
      <c r="B34" s="18" t="n"/>
      <c r="C34" s="18" t="n"/>
      <c r="D34" s="7" t="n"/>
      <c r="E34" s="8" t="n"/>
      <c r="F34" s="18" t="n"/>
      <c r="G34" s="18" t="n"/>
      <c r="H34" s="10">
        <f>IF(AND(E34&lt;&gt;"",E34&lt;TODAY(),F34="Pending"),"Overdue","")</f>
        <v/>
      </c>
    </row>
    <row r="35">
      <c r="A35" s="18" t="n"/>
      <c r="B35" s="18" t="n"/>
      <c r="C35" s="18" t="n"/>
      <c r="D35" s="7" t="n"/>
      <c r="E35" s="8" t="n"/>
      <c r="F35" s="18" t="n"/>
      <c r="G35" s="18" t="n"/>
      <c r="H35" s="10">
        <f>IF(AND(E35&lt;&gt;"",E35&lt;TODAY(),F35="Pending"),"Overdue","")</f>
        <v/>
      </c>
    </row>
    <row r="36">
      <c r="A36" s="18" t="n"/>
      <c r="B36" s="18" t="n"/>
      <c r="C36" s="18" t="n"/>
      <c r="D36" s="7" t="n"/>
      <c r="E36" s="8" t="n"/>
      <c r="F36" s="18" t="n"/>
      <c r="G36" s="18" t="n"/>
      <c r="H36" s="10">
        <f>IF(AND(E36&lt;&gt;"",E36&lt;TODAY(),F36="Pending"),"Overdue","")</f>
        <v/>
      </c>
    </row>
    <row r="37">
      <c r="A37" s="18" t="n"/>
      <c r="B37" s="18" t="n"/>
      <c r="C37" s="18" t="n"/>
      <c r="D37" s="7" t="n"/>
      <c r="E37" s="8" t="n"/>
      <c r="F37" s="18" t="n"/>
      <c r="G37" s="18" t="n"/>
      <c r="H37" s="10">
        <f>IF(AND(E37&lt;&gt;"",E37&lt;TODAY(),F37="Pending"),"Overdue","")</f>
        <v/>
      </c>
    </row>
    <row r="38">
      <c r="A38" s="18" t="n"/>
      <c r="B38" s="18" t="n"/>
      <c r="C38" s="18" t="n"/>
      <c r="D38" s="7" t="n"/>
      <c r="E38" s="8" t="n"/>
      <c r="F38" s="18" t="n"/>
      <c r="G38" s="18" t="n"/>
      <c r="H38" s="10">
        <f>IF(AND(E38&lt;&gt;"",E38&lt;TODAY(),F38="Pending"),"Overdue","")</f>
        <v/>
      </c>
    </row>
    <row r="39">
      <c r="A39" s="18" t="n"/>
      <c r="B39" s="18" t="n"/>
      <c r="C39" s="18" t="n"/>
      <c r="D39" s="7" t="n"/>
      <c r="E39" s="8" t="n"/>
      <c r="F39" s="18" t="n"/>
      <c r="G39" s="18" t="n"/>
      <c r="H39" s="10">
        <f>IF(AND(E39&lt;&gt;"",E39&lt;TODAY(),F39="Pending"),"Overdue","")</f>
        <v/>
      </c>
    </row>
    <row r="40">
      <c r="A40" s="18" t="n"/>
      <c r="B40" s="18" t="n"/>
      <c r="C40" s="18" t="n"/>
      <c r="D40" s="7" t="n"/>
      <c r="E40" s="8" t="n"/>
      <c r="F40" s="18" t="n"/>
      <c r="G40" s="18" t="n"/>
      <c r="H40" s="10">
        <f>IF(AND(E40&lt;&gt;"",E40&lt;TODAY(),F40="Pending"),"Overdue","")</f>
        <v/>
      </c>
    </row>
    <row r="41">
      <c r="A41" s="18" t="n"/>
      <c r="B41" s="18" t="n"/>
      <c r="C41" s="18" t="n"/>
      <c r="D41" s="7" t="n"/>
      <c r="E41" s="8" t="n"/>
      <c r="F41" s="18" t="n"/>
      <c r="G41" s="18" t="n"/>
      <c r="H41" s="10">
        <f>IF(AND(E41&lt;&gt;"",E41&lt;TODAY(),F41="Pending"),"Overdue","")</f>
        <v/>
      </c>
    </row>
    <row r="42">
      <c r="A42" s="18" t="n"/>
      <c r="B42" s="18" t="n"/>
      <c r="C42" s="18" t="n"/>
      <c r="D42" s="7" t="n"/>
      <c r="E42" s="8" t="n"/>
      <c r="F42" s="18" t="n"/>
      <c r="G42" s="18" t="n"/>
      <c r="H42" s="10">
        <f>IF(AND(E42&lt;&gt;"",E42&lt;TODAY(),F42="Pending"),"Overdue","")</f>
        <v/>
      </c>
    </row>
    <row r="43">
      <c r="A43" s="18" t="n"/>
      <c r="B43" s="18" t="n"/>
      <c r="C43" s="18" t="n"/>
      <c r="D43" s="7" t="n"/>
      <c r="E43" s="8" t="n"/>
      <c r="F43" s="18" t="n"/>
      <c r="G43" s="18" t="n"/>
      <c r="H43" s="10">
        <f>IF(AND(E43&lt;&gt;"",E43&lt;TODAY(),F43="Pending"),"Overdue","")</f>
        <v/>
      </c>
    </row>
    <row r="44">
      <c r="A44" s="18" t="n"/>
      <c r="B44" s="18" t="n"/>
      <c r="C44" s="18" t="n"/>
      <c r="D44" s="7" t="n"/>
      <c r="E44" s="8" t="n"/>
      <c r="F44" s="18" t="n"/>
      <c r="G44" s="18" t="n"/>
      <c r="H44" s="10">
        <f>IF(AND(E44&lt;&gt;"",E44&lt;TODAY(),F44="Pending"),"Overdue","")</f>
        <v/>
      </c>
    </row>
    <row r="45">
      <c r="A45" s="18" t="n"/>
      <c r="B45" s="18" t="n"/>
      <c r="C45" s="18" t="n"/>
      <c r="D45" s="7" t="n"/>
      <c r="E45" s="8" t="n"/>
      <c r="F45" s="18" t="n"/>
      <c r="G45" s="18" t="n"/>
      <c r="H45" s="10">
        <f>IF(AND(E45&lt;&gt;"",E45&lt;TODAY(),F45="Pending"),"Overdue","")</f>
        <v/>
      </c>
    </row>
    <row r="46">
      <c r="A46" s="18" t="n"/>
      <c r="B46" s="18" t="n"/>
      <c r="C46" s="18" t="n"/>
      <c r="D46" s="7" t="n"/>
      <c r="E46" s="8" t="n"/>
      <c r="F46" s="18" t="n"/>
      <c r="G46" s="18" t="n"/>
      <c r="H46" s="10">
        <f>IF(AND(E46&lt;&gt;"",E46&lt;TODAY(),F46="Pending"),"Overdue","")</f>
        <v/>
      </c>
    </row>
    <row r="47">
      <c r="A47" s="18" t="n"/>
      <c r="B47" s="18" t="n"/>
      <c r="C47" s="18" t="n"/>
      <c r="D47" s="7" t="n"/>
      <c r="E47" s="8" t="n"/>
      <c r="F47" s="18" t="n"/>
      <c r="G47" s="18" t="n"/>
      <c r="H47" s="10">
        <f>IF(AND(E47&lt;&gt;"",E47&lt;TODAY(),F47="Pending"),"Overdue","")</f>
        <v/>
      </c>
    </row>
    <row r="48">
      <c r="A48" s="18" t="n"/>
      <c r="B48" s="18" t="n"/>
      <c r="C48" s="18" t="n"/>
      <c r="D48" s="7" t="n"/>
      <c r="E48" s="8" t="n"/>
      <c r="F48" s="18" t="n"/>
      <c r="G48" s="18" t="n"/>
      <c r="H48" s="10">
        <f>IF(AND(E48&lt;&gt;"",E48&lt;TODAY(),F48="Pending"),"Overdue","")</f>
        <v/>
      </c>
    </row>
    <row r="49">
      <c r="A49" s="18" t="n"/>
      <c r="B49" s="18" t="n"/>
      <c r="C49" s="18" t="n"/>
      <c r="D49" s="7" t="n"/>
      <c r="E49" s="8" t="n"/>
      <c r="F49" s="18" t="n"/>
      <c r="G49" s="18" t="n"/>
      <c r="H49" s="10">
        <f>IF(AND(E49&lt;&gt;"",E49&lt;TODAY(),F49="Pending"),"Overdue","")</f>
        <v/>
      </c>
    </row>
    <row r="50">
      <c r="A50" s="18" t="n"/>
      <c r="B50" s="18" t="n"/>
      <c r="C50" s="18" t="n"/>
      <c r="D50" s="7" t="n"/>
      <c r="E50" s="8" t="n"/>
      <c r="F50" s="18" t="n"/>
      <c r="G50" s="18" t="n"/>
      <c r="H50" s="10">
        <f>IF(AND(E50&lt;&gt;"",E50&lt;TODAY(),F50="Pending"),"Overdue","")</f>
        <v/>
      </c>
    </row>
    <row r="51">
      <c r="A51" s="18" t="n"/>
      <c r="B51" s="18" t="n"/>
      <c r="C51" s="18" t="n"/>
      <c r="D51" s="7" t="n"/>
      <c r="E51" s="8" t="n"/>
      <c r="F51" s="18" t="n"/>
      <c r="G51" s="18" t="n"/>
      <c r="H51" s="10">
        <f>IF(AND(E51&lt;&gt;"",E51&lt;TODAY(),F51="Pending"),"Overdue","")</f>
        <v/>
      </c>
    </row>
    <row r="52">
      <c r="A52" s="18" t="n"/>
      <c r="B52" s="18" t="n"/>
      <c r="C52" s="18" t="n"/>
      <c r="D52" s="7" t="n"/>
      <c r="E52" s="8" t="n"/>
      <c r="F52" s="18" t="n"/>
      <c r="G52" s="18" t="n"/>
      <c r="H52" s="10">
        <f>IF(AND(E52&lt;&gt;"",E52&lt;TODAY(),F52="Pending"),"Overdue","")</f>
        <v/>
      </c>
    </row>
    <row r="53">
      <c r="A53" s="18" t="n"/>
      <c r="B53" s="18" t="n"/>
      <c r="C53" s="18" t="n"/>
      <c r="D53" s="7" t="n"/>
      <c r="E53" s="8" t="n"/>
      <c r="F53" s="18" t="n"/>
      <c r="G53" s="18" t="n"/>
      <c r="H53" s="10">
        <f>IF(AND(E53&lt;&gt;"",E53&lt;TODAY(),F53="Pending"),"Overdue","")</f>
        <v/>
      </c>
    </row>
    <row r="54">
      <c r="A54" s="18" t="n"/>
      <c r="B54" s="18" t="n"/>
      <c r="C54" s="18" t="n"/>
      <c r="D54" s="7" t="n"/>
      <c r="E54" s="8" t="n"/>
      <c r="F54" s="18" t="n"/>
      <c r="G54" s="18" t="n"/>
      <c r="H54" s="10">
        <f>IF(AND(E54&lt;&gt;"",E54&lt;TODAY(),F54="Pending"),"Overdue","")</f>
        <v/>
      </c>
    </row>
    <row r="55">
      <c r="A55" s="18" t="n"/>
      <c r="B55" s="18" t="n"/>
      <c r="C55" s="18" t="n"/>
      <c r="D55" s="7" t="n"/>
      <c r="E55" s="8" t="n"/>
      <c r="F55" s="18" t="n"/>
      <c r="G55" s="18" t="n"/>
      <c r="H55" s="10">
        <f>IF(AND(E55&lt;&gt;"",E55&lt;TODAY(),F55="Pending"),"Overdue","")</f>
        <v/>
      </c>
    </row>
    <row r="56">
      <c r="A56" s="18" t="n"/>
      <c r="B56" s="18" t="n"/>
      <c r="C56" s="18" t="n"/>
      <c r="D56" s="7" t="n"/>
      <c r="E56" s="8" t="n"/>
      <c r="F56" s="18" t="n"/>
      <c r="G56" s="18" t="n"/>
      <c r="H56" s="10">
        <f>IF(AND(E56&lt;&gt;"",E56&lt;TODAY(),F56="Pending"),"Overdue","")</f>
        <v/>
      </c>
    </row>
    <row r="57">
      <c r="A57" s="18" t="n"/>
      <c r="B57" s="18" t="n"/>
      <c r="C57" s="18" t="n"/>
      <c r="D57" s="7" t="n"/>
      <c r="E57" s="8" t="n"/>
      <c r="F57" s="18" t="n"/>
      <c r="G57" s="18" t="n"/>
      <c r="H57" s="10">
        <f>IF(AND(E57&lt;&gt;"",E57&lt;TODAY(),F57="Pending"),"Overdue","")</f>
        <v/>
      </c>
    </row>
    <row r="58">
      <c r="A58" s="18" t="n"/>
      <c r="B58" s="18" t="n"/>
      <c r="C58" s="18" t="n"/>
      <c r="D58" s="7" t="n"/>
      <c r="E58" s="8" t="n"/>
      <c r="F58" s="18" t="n"/>
      <c r="G58" s="18" t="n"/>
      <c r="H58" s="10">
        <f>IF(AND(E58&lt;&gt;"",E58&lt;TODAY(),F58="Pending"),"Overdue","")</f>
        <v/>
      </c>
    </row>
    <row r="59">
      <c r="A59" s="18" t="n"/>
      <c r="B59" s="18" t="n"/>
      <c r="C59" s="18" t="n"/>
      <c r="D59" s="7" t="n"/>
      <c r="E59" s="8" t="n"/>
      <c r="F59" s="18" t="n"/>
      <c r="G59" s="18" t="n"/>
      <c r="H59" s="10">
        <f>IF(AND(E59&lt;&gt;"",E59&lt;TODAY(),F59="Pending"),"Overdue","")</f>
        <v/>
      </c>
    </row>
    <row r="60">
      <c r="A60" s="18" t="n"/>
      <c r="B60" s="18" t="n"/>
      <c r="C60" s="18" t="n"/>
      <c r="D60" s="7" t="n"/>
      <c r="E60" s="8" t="n"/>
      <c r="F60" s="18" t="n"/>
      <c r="G60" s="18" t="n"/>
      <c r="H60" s="10">
        <f>IF(AND(E60&lt;&gt;"",E60&lt;TODAY(),F60="Pending"),"Overdue","")</f>
        <v/>
      </c>
    </row>
    <row r="61">
      <c r="A61" s="18" t="n"/>
      <c r="B61" s="18" t="n"/>
      <c r="C61" s="18" t="n"/>
      <c r="D61" s="7" t="n"/>
      <c r="E61" s="8" t="n"/>
      <c r="F61" s="18" t="n"/>
      <c r="G61" s="18" t="n"/>
      <c r="H61" s="10">
        <f>IF(AND(E61&lt;&gt;"",E61&lt;TODAY(),F61="Pending"),"Overdue","")</f>
        <v/>
      </c>
    </row>
    <row r="62">
      <c r="A62" s="18" t="n"/>
      <c r="B62" s="18" t="n"/>
      <c r="C62" s="18" t="n"/>
      <c r="D62" s="7" t="n"/>
      <c r="E62" s="8" t="n"/>
      <c r="F62" s="18" t="n"/>
      <c r="G62" s="18" t="n"/>
      <c r="H62" s="10">
        <f>IF(AND(E62&lt;&gt;"",E62&lt;TODAY(),F62="Pending"),"Overdue","")</f>
        <v/>
      </c>
    </row>
    <row r="63">
      <c r="A63" s="18" t="n"/>
      <c r="B63" s="18" t="n"/>
      <c r="C63" s="18" t="n"/>
      <c r="D63" s="7" t="n"/>
      <c r="E63" s="8" t="n"/>
      <c r="F63" s="18" t="n"/>
      <c r="G63" s="18" t="n"/>
      <c r="H63" s="10">
        <f>IF(AND(E63&lt;&gt;"",E63&lt;TODAY(),F63="Pending"),"Overdue","")</f>
        <v/>
      </c>
    </row>
    <row r="64">
      <c r="A64" s="18" t="n"/>
      <c r="B64" s="18" t="n"/>
      <c r="C64" s="18" t="n"/>
      <c r="D64" s="7" t="n"/>
      <c r="E64" s="8" t="n"/>
      <c r="F64" s="18" t="n"/>
      <c r="G64" s="18" t="n"/>
      <c r="H64" s="10">
        <f>IF(AND(E64&lt;&gt;"",E64&lt;TODAY(),F64="Pending"),"Overdue","")</f>
        <v/>
      </c>
    </row>
    <row r="65">
      <c r="A65" s="18" t="n"/>
      <c r="B65" s="18" t="n"/>
      <c r="C65" s="18" t="n"/>
      <c r="D65" s="7" t="n"/>
      <c r="E65" s="8" t="n"/>
      <c r="F65" s="18" t="n"/>
      <c r="G65" s="18" t="n"/>
      <c r="H65" s="10">
        <f>IF(AND(E65&lt;&gt;"",E65&lt;TODAY(),F65="Pending"),"Overdue","")</f>
        <v/>
      </c>
    </row>
    <row r="66">
      <c r="A66" s="18" t="n"/>
      <c r="B66" s="18" t="n"/>
      <c r="C66" s="18" t="n"/>
      <c r="D66" s="7" t="n"/>
      <c r="E66" s="8" t="n"/>
      <c r="F66" s="18" t="n"/>
      <c r="G66" s="18" t="n"/>
      <c r="H66" s="10">
        <f>IF(AND(E66&lt;&gt;"",E66&lt;TODAY(),F66="Pending"),"Overdue","")</f>
        <v/>
      </c>
    </row>
    <row r="67">
      <c r="A67" s="18" t="n"/>
      <c r="B67" s="18" t="n"/>
      <c r="C67" s="18" t="n"/>
      <c r="D67" s="7" t="n"/>
      <c r="E67" s="8" t="n"/>
      <c r="F67" s="18" t="n"/>
      <c r="G67" s="18" t="n"/>
      <c r="H67" s="10">
        <f>IF(AND(E67&lt;&gt;"",E67&lt;TODAY(),F67="Pending"),"Overdue","")</f>
        <v/>
      </c>
    </row>
    <row r="68">
      <c r="A68" s="18" t="n"/>
      <c r="B68" s="18" t="n"/>
      <c r="C68" s="18" t="n"/>
      <c r="D68" s="7" t="n"/>
      <c r="E68" s="8" t="n"/>
      <c r="F68" s="18" t="n"/>
      <c r="G68" s="18" t="n"/>
      <c r="H68" s="10">
        <f>IF(AND(E68&lt;&gt;"",E68&lt;TODAY(),F68="Pending"),"Overdue","")</f>
        <v/>
      </c>
    </row>
    <row r="69">
      <c r="A69" s="18" t="n"/>
      <c r="B69" s="18" t="n"/>
      <c r="C69" s="18" t="n"/>
      <c r="D69" s="7" t="n"/>
      <c r="E69" s="8" t="n"/>
      <c r="F69" s="18" t="n"/>
      <c r="G69" s="18" t="n"/>
      <c r="H69" s="10">
        <f>IF(AND(E69&lt;&gt;"",E69&lt;TODAY(),F69="Pending"),"Overdue","")</f>
        <v/>
      </c>
    </row>
    <row r="70">
      <c r="A70" s="18" t="n"/>
      <c r="B70" s="18" t="n"/>
      <c r="C70" s="18" t="n"/>
      <c r="D70" s="7" t="n"/>
      <c r="E70" s="8" t="n"/>
      <c r="F70" s="18" t="n"/>
      <c r="G70" s="18" t="n"/>
      <c r="H70" s="10">
        <f>IF(AND(E70&lt;&gt;"",E70&lt;TODAY(),F70="Pending"),"Overdue","")</f>
        <v/>
      </c>
    </row>
    <row r="71">
      <c r="A71" s="18" t="n"/>
      <c r="B71" s="18" t="n"/>
      <c r="C71" s="18" t="n"/>
      <c r="D71" s="7" t="n"/>
      <c r="E71" s="8" t="n"/>
      <c r="F71" s="18" t="n"/>
      <c r="G71" s="18" t="n"/>
      <c r="H71" s="10">
        <f>IF(AND(E71&lt;&gt;"",E71&lt;TODAY(),F71="Pending"),"Overdue","")</f>
        <v/>
      </c>
    </row>
    <row r="72">
      <c r="A72" s="18" t="n"/>
      <c r="B72" s="18" t="n"/>
      <c r="C72" s="18" t="n"/>
      <c r="D72" s="7" t="n"/>
      <c r="E72" s="8" t="n"/>
      <c r="F72" s="18" t="n"/>
      <c r="G72" s="18" t="n"/>
      <c r="H72" s="10">
        <f>IF(AND(E72&lt;&gt;"",E72&lt;TODAY(),F72="Pending"),"Overdue","")</f>
        <v/>
      </c>
    </row>
    <row r="73">
      <c r="A73" s="18" t="n"/>
      <c r="B73" s="18" t="n"/>
      <c r="C73" s="18" t="n"/>
      <c r="D73" s="7" t="n"/>
      <c r="E73" s="8" t="n"/>
      <c r="F73" s="18" t="n"/>
      <c r="G73" s="18" t="n"/>
      <c r="H73" s="10">
        <f>IF(AND(E73&lt;&gt;"",E73&lt;TODAY(),F73="Pending"),"Overdue","")</f>
        <v/>
      </c>
    </row>
    <row r="74">
      <c r="A74" s="18" t="n"/>
      <c r="B74" s="18" t="n"/>
      <c r="C74" s="18" t="n"/>
      <c r="D74" s="7" t="n"/>
      <c r="E74" s="8" t="n"/>
      <c r="F74" s="18" t="n"/>
      <c r="G74" s="18" t="n"/>
      <c r="H74" s="10">
        <f>IF(AND(E74&lt;&gt;"",E74&lt;TODAY(),F74="Pending"),"Overdue","")</f>
        <v/>
      </c>
    </row>
    <row r="75">
      <c r="A75" s="18" t="n"/>
      <c r="B75" s="18" t="n"/>
      <c r="C75" s="18" t="n"/>
      <c r="D75" s="7" t="n"/>
      <c r="E75" s="8" t="n"/>
      <c r="F75" s="18" t="n"/>
      <c r="G75" s="18" t="n"/>
      <c r="H75" s="10">
        <f>IF(AND(E75&lt;&gt;"",E75&lt;TODAY(),F75="Pending"),"Overdue","")</f>
        <v/>
      </c>
    </row>
    <row r="76">
      <c r="A76" s="18" t="n"/>
      <c r="B76" s="18" t="n"/>
      <c r="C76" s="18" t="n"/>
      <c r="D76" s="7" t="n"/>
      <c r="E76" s="8" t="n"/>
      <c r="F76" s="18" t="n"/>
      <c r="G76" s="18" t="n"/>
      <c r="H76" s="10">
        <f>IF(AND(E76&lt;&gt;"",E76&lt;TODAY(),F76="Pending"),"Overdue","")</f>
        <v/>
      </c>
    </row>
    <row r="77">
      <c r="A77" s="18" t="n"/>
      <c r="B77" s="18" t="n"/>
      <c r="C77" s="18" t="n"/>
      <c r="D77" s="7" t="n"/>
      <c r="E77" s="8" t="n"/>
      <c r="F77" s="18" t="n"/>
      <c r="G77" s="18" t="n"/>
      <c r="H77" s="10">
        <f>IF(AND(E77&lt;&gt;"",E77&lt;TODAY(),F77="Pending"),"Overdue","")</f>
        <v/>
      </c>
    </row>
    <row r="78">
      <c r="A78" s="18" t="n"/>
      <c r="B78" s="18" t="n"/>
      <c r="C78" s="18" t="n"/>
      <c r="D78" s="7" t="n"/>
      <c r="E78" s="8" t="n"/>
      <c r="F78" s="18" t="n"/>
      <c r="G78" s="18" t="n"/>
      <c r="H78" s="10">
        <f>IF(AND(E78&lt;&gt;"",E78&lt;TODAY(),F78="Pending"),"Overdue","")</f>
        <v/>
      </c>
    </row>
    <row r="79">
      <c r="A79" s="18" t="n"/>
      <c r="B79" s="18" t="n"/>
      <c r="C79" s="18" t="n"/>
      <c r="D79" s="7" t="n"/>
      <c r="E79" s="8" t="n"/>
      <c r="F79" s="18" t="n"/>
      <c r="G79" s="18" t="n"/>
      <c r="H79" s="10">
        <f>IF(AND(E79&lt;&gt;"",E79&lt;TODAY(),F79="Pending"),"Overdue","")</f>
        <v/>
      </c>
    </row>
    <row r="80">
      <c r="A80" s="18" t="n"/>
      <c r="B80" s="18" t="n"/>
      <c r="C80" s="18" t="n"/>
      <c r="D80" s="7" t="n"/>
      <c r="E80" s="8" t="n"/>
      <c r="F80" s="18" t="n"/>
      <c r="G80" s="18" t="n"/>
      <c r="H80" s="10">
        <f>IF(AND(E80&lt;&gt;"",E80&lt;TODAY(),F80="Pending"),"Overdue","")</f>
        <v/>
      </c>
    </row>
    <row r="81">
      <c r="A81" s="18" t="n"/>
      <c r="B81" s="18" t="n"/>
      <c r="C81" s="18" t="n"/>
      <c r="D81" s="7" t="n"/>
      <c r="E81" s="8" t="n"/>
      <c r="F81" s="18" t="n"/>
      <c r="G81" s="18" t="n"/>
      <c r="H81" s="10">
        <f>IF(AND(E81&lt;&gt;"",E81&lt;TODAY(),F81="Pending"),"Overdue","")</f>
        <v/>
      </c>
    </row>
  </sheetData>
  <autoFilter ref="A1:H81"/>
  <dataValidations count="2">
    <dataValidation sqref="F2:F81" showDropDown="0" showInputMessage="0" showErrorMessage="1" allowBlank="1" errorTitle="Status" error="Please choose Paid or Pending." type="list">
      <formula1>"Paid,Pending"</formula1>
    </dataValidation>
    <dataValidation sqref="B2:B81" showDropDown="0" showInputMessage="0" showErrorMessage="1" allowBlank="1" errorTitle="Category" error="This category is not in the standard list. Custom category names are allowed, but type them exactly as shown on Custom &amp; Notes so the sums find them." type="list" errorStyle="warning">
      <formula1>"Venue &amp; Rentals,Catering &amp; Beverages,Photography,Videography,Music &amp; Entertainment,Flowers &amp; Decor,Attire &amp; Accessories,Rings &amp; Jewelry,Stationery &amp; Invitations,Cake &amp; Desserts,Transportation,Officiant &amp; Ceremony,Hair &amp; Makeup,Favors &amp; Gifts,Rehearsal Dinner"</formula1>
    </dataValidation>
  </dataValidations>
  <pageMargins left="0.75" right="0.75" top="1" bottom="1" header="0.5" footer="0.5"/>
  <pageSetup orientation="portrait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Payment Summary</t>
        </is>
      </c>
    </row>
    <row r="2">
      <c r="A2" s="9" t="inlineStr">
        <is>
          <t>By status</t>
        </is>
      </c>
      <c r="B2" s="9" t="inlineStr">
        <is>
          <t>Amount ($)</t>
        </is>
      </c>
    </row>
    <row r="3">
      <c r="A3" s="10" t="inlineStr">
        <is>
          <t>Paid</t>
        </is>
      </c>
      <c r="B3" s="12">
        <f>SUMIF('Vendor Payments'!$F$2:$F$81,"Paid",'Vendor Payments'!$D$2:$D$81)</f>
        <v/>
      </c>
    </row>
    <row r="4">
      <c r="A4" s="10" t="inlineStr">
        <is>
          <t>Pending</t>
        </is>
      </c>
      <c r="B4" s="12">
        <f>SUMIF('Vendor Payments'!$F$2:$F$81,"Pending",'Vendor Payments'!$D$2:$D$81)</f>
        <v/>
      </c>
    </row>
    <row r="5">
      <c r="A5" s="6" t="inlineStr">
        <is>
          <t>Total committed</t>
        </is>
      </c>
      <c r="B5" s="19">
        <f>SUM(B3:B4)</f>
        <v/>
      </c>
    </row>
    <row r="6">
      <c r="A6" s="10" t="inlineStr">
        <is>
          <t>Total budget</t>
        </is>
      </c>
      <c r="B6" s="12">
        <f>Overview!B2</f>
        <v/>
      </c>
    </row>
    <row r="7">
      <c r="A7" s="10" t="inlineStr">
        <is>
          <t>Remaining to pay</t>
        </is>
      </c>
      <c r="B7" s="12">
        <f>IF(OR(B6="",B3=""),"",B6-B3)</f>
        <v/>
      </c>
    </row>
    <row r="8">
      <c r="A8" s="10" t="inlineStr">
        <is>
          <t>Uncommitted</t>
        </is>
      </c>
      <c r="B8" s="12">
        <f>IF(OR(B6="",B3="",B4=""),"",B6-B3-B4)</f>
        <v/>
      </c>
    </row>
    <row r="10">
      <c r="A10" s="9" t="inlineStr">
        <is>
          <t>By category</t>
        </is>
      </c>
      <c r="B10" s="9" t="inlineStr">
        <is>
          <t>Paid ($)</t>
        </is>
      </c>
      <c r="C10" s="9" t="inlineStr">
        <is>
          <t>Pending ($)</t>
        </is>
      </c>
      <c r="D10" s="9" t="inlineStr">
        <is>
          <t>Total ($)</t>
        </is>
      </c>
    </row>
    <row r="11">
      <c r="A11" s="10" t="inlineStr">
        <is>
          <t>Venue &amp; Rentals</t>
        </is>
      </c>
      <c r="B11" s="12">
        <f>SUMIFS('Vendor Payments'!$D$2:$D$81,'Vendor Payments'!$B$2:$B$81,$A11,'Vendor Payments'!$F$2:$F$81,"Paid")</f>
        <v/>
      </c>
      <c r="C11" s="12">
        <f>SUMIFS('Vendor Payments'!$D$2:$D$81,'Vendor Payments'!$B$2:$B$81,$A11,'Vendor Payments'!$F$2:$F$81,"Pending")</f>
        <v/>
      </c>
      <c r="D11" s="12">
        <f>SUM(B11:C11)</f>
        <v/>
      </c>
    </row>
    <row r="12">
      <c r="A12" s="10" t="inlineStr">
        <is>
          <t>Catering &amp; Beverages</t>
        </is>
      </c>
      <c r="B12" s="12">
        <f>SUMIFS('Vendor Payments'!$D$2:$D$81,'Vendor Payments'!$B$2:$B$81,$A12,'Vendor Payments'!$F$2:$F$81,"Paid")</f>
        <v/>
      </c>
      <c r="C12" s="12">
        <f>SUMIFS('Vendor Payments'!$D$2:$D$81,'Vendor Payments'!$B$2:$B$81,$A12,'Vendor Payments'!$F$2:$F$81,"Pending")</f>
        <v/>
      </c>
      <c r="D12" s="12">
        <f>SUM(B12:C12)</f>
        <v/>
      </c>
    </row>
    <row r="13">
      <c r="A13" s="10" t="inlineStr">
        <is>
          <t>Photography</t>
        </is>
      </c>
      <c r="B13" s="12">
        <f>SUMIFS('Vendor Payments'!$D$2:$D$81,'Vendor Payments'!$B$2:$B$81,$A13,'Vendor Payments'!$F$2:$F$81,"Paid")</f>
        <v/>
      </c>
      <c r="C13" s="12">
        <f>SUMIFS('Vendor Payments'!$D$2:$D$81,'Vendor Payments'!$B$2:$B$81,$A13,'Vendor Payments'!$F$2:$F$81,"Pending")</f>
        <v/>
      </c>
      <c r="D13" s="12">
        <f>SUM(B13:C13)</f>
        <v/>
      </c>
    </row>
    <row r="14">
      <c r="A14" s="10" t="inlineStr">
        <is>
          <t>Videography</t>
        </is>
      </c>
      <c r="B14" s="12">
        <f>SUMIFS('Vendor Payments'!$D$2:$D$81,'Vendor Payments'!$B$2:$B$81,$A14,'Vendor Payments'!$F$2:$F$81,"Paid")</f>
        <v/>
      </c>
      <c r="C14" s="12">
        <f>SUMIFS('Vendor Payments'!$D$2:$D$81,'Vendor Payments'!$B$2:$B$81,$A14,'Vendor Payments'!$F$2:$F$81,"Pending")</f>
        <v/>
      </c>
      <c r="D14" s="12">
        <f>SUM(B14:C14)</f>
        <v/>
      </c>
    </row>
    <row r="15">
      <c r="A15" s="10" t="inlineStr">
        <is>
          <t>Music &amp; Entertainment</t>
        </is>
      </c>
      <c r="B15" s="12">
        <f>SUMIFS('Vendor Payments'!$D$2:$D$81,'Vendor Payments'!$B$2:$B$81,$A15,'Vendor Payments'!$F$2:$F$81,"Paid")</f>
        <v/>
      </c>
      <c r="C15" s="12">
        <f>SUMIFS('Vendor Payments'!$D$2:$D$81,'Vendor Payments'!$B$2:$B$81,$A15,'Vendor Payments'!$F$2:$F$81,"Pending")</f>
        <v/>
      </c>
      <c r="D15" s="12">
        <f>SUM(B15:C15)</f>
        <v/>
      </c>
    </row>
    <row r="16">
      <c r="A16" s="10" t="inlineStr">
        <is>
          <t>Flowers &amp; Decor</t>
        </is>
      </c>
      <c r="B16" s="12">
        <f>SUMIFS('Vendor Payments'!$D$2:$D$81,'Vendor Payments'!$B$2:$B$81,$A16,'Vendor Payments'!$F$2:$F$81,"Paid")</f>
        <v/>
      </c>
      <c r="C16" s="12">
        <f>SUMIFS('Vendor Payments'!$D$2:$D$81,'Vendor Payments'!$B$2:$B$81,$A16,'Vendor Payments'!$F$2:$F$81,"Pending")</f>
        <v/>
      </c>
      <c r="D16" s="12">
        <f>SUM(B16:C16)</f>
        <v/>
      </c>
    </row>
    <row r="17">
      <c r="A17" s="10" t="inlineStr">
        <is>
          <t>Attire &amp; Accessories</t>
        </is>
      </c>
      <c r="B17" s="12">
        <f>SUMIFS('Vendor Payments'!$D$2:$D$81,'Vendor Payments'!$B$2:$B$81,$A17,'Vendor Payments'!$F$2:$F$81,"Paid")</f>
        <v/>
      </c>
      <c r="C17" s="12">
        <f>SUMIFS('Vendor Payments'!$D$2:$D$81,'Vendor Payments'!$B$2:$B$81,$A17,'Vendor Payments'!$F$2:$F$81,"Pending")</f>
        <v/>
      </c>
      <c r="D17" s="12">
        <f>SUM(B17:C17)</f>
        <v/>
      </c>
    </row>
    <row r="18">
      <c r="A18" s="10" t="inlineStr">
        <is>
          <t>Rings &amp; Jewelry</t>
        </is>
      </c>
      <c r="B18" s="12">
        <f>SUMIFS('Vendor Payments'!$D$2:$D$81,'Vendor Payments'!$B$2:$B$81,$A18,'Vendor Payments'!$F$2:$F$81,"Paid")</f>
        <v/>
      </c>
      <c r="C18" s="12">
        <f>SUMIFS('Vendor Payments'!$D$2:$D$81,'Vendor Payments'!$B$2:$B$81,$A18,'Vendor Payments'!$F$2:$F$81,"Pending")</f>
        <v/>
      </c>
      <c r="D18" s="12">
        <f>SUM(B18:C18)</f>
        <v/>
      </c>
    </row>
    <row r="19">
      <c r="A19" s="10" t="inlineStr">
        <is>
          <t>Stationery &amp; Invitations</t>
        </is>
      </c>
      <c r="B19" s="12">
        <f>SUMIFS('Vendor Payments'!$D$2:$D$81,'Vendor Payments'!$B$2:$B$81,$A19,'Vendor Payments'!$F$2:$F$81,"Paid")</f>
        <v/>
      </c>
      <c r="C19" s="12">
        <f>SUMIFS('Vendor Payments'!$D$2:$D$81,'Vendor Payments'!$B$2:$B$81,$A19,'Vendor Payments'!$F$2:$F$81,"Pending")</f>
        <v/>
      </c>
      <c r="D19" s="12">
        <f>SUM(B19:C19)</f>
        <v/>
      </c>
    </row>
    <row r="20">
      <c r="A20" s="10" t="inlineStr">
        <is>
          <t>Cake &amp; Desserts</t>
        </is>
      </c>
      <c r="B20" s="12">
        <f>SUMIFS('Vendor Payments'!$D$2:$D$81,'Vendor Payments'!$B$2:$B$81,$A20,'Vendor Payments'!$F$2:$F$81,"Paid")</f>
        <v/>
      </c>
      <c r="C20" s="12">
        <f>SUMIFS('Vendor Payments'!$D$2:$D$81,'Vendor Payments'!$B$2:$B$81,$A20,'Vendor Payments'!$F$2:$F$81,"Pending")</f>
        <v/>
      </c>
      <c r="D20" s="12">
        <f>SUM(B20:C20)</f>
        <v/>
      </c>
    </row>
    <row r="21">
      <c r="A21" s="10" t="inlineStr">
        <is>
          <t>Transportation</t>
        </is>
      </c>
      <c r="B21" s="12">
        <f>SUMIFS('Vendor Payments'!$D$2:$D$81,'Vendor Payments'!$B$2:$B$81,$A21,'Vendor Payments'!$F$2:$F$81,"Paid")</f>
        <v/>
      </c>
      <c r="C21" s="12">
        <f>SUMIFS('Vendor Payments'!$D$2:$D$81,'Vendor Payments'!$B$2:$B$81,$A21,'Vendor Payments'!$F$2:$F$81,"Pending")</f>
        <v/>
      </c>
      <c r="D21" s="12">
        <f>SUM(B21:C21)</f>
        <v/>
      </c>
    </row>
    <row r="22">
      <c r="A22" s="10" t="inlineStr">
        <is>
          <t>Officiant &amp; Ceremony</t>
        </is>
      </c>
      <c r="B22" s="12">
        <f>SUMIFS('Vendor Payments'!$D$2:$D$81,'Vendor Payments'!$B$2:$B$81,$A22,'Vendor Payments'!$F$2:$F$81,"Paid")</f>
        <v/>
      </c>
      <c r="C22" s="12">
        <f>SUMIFS('Vendor Payments'!$D$2:$D$81,'Vendor Payments'!$B$2:$B$81,$A22,'Vendor Payments'!$F$2:$F$81,"Pending")</f>
        <v/>
      </c>
      <c r="D22" s="12">
        <f>SUM(B22:C22)</f>
        <v/>
      </c>
    </row>
    <row r="23">
      <c r="A23" s="10" t="inlineStr">
        <is>
          <t>Hair &amp; Makeup</t>
        </is>
      </c>
      <c r="B23" s="12">
        <f>SUMIFS('Vendor Payments'!$D$2:$D$81,'Vendor Payments'!$B$2:$B$81,$A23,'Vendor Payments'!$F$2:$F$81,"Paid")</f>
        <v/>
      </c>
      <c r="C23" s="12">
        <f>SUMIFS('Vendor Payments'!$D$2:$D$81,'Vendor Payments'!$B$2:$B$81,$A23,'Vendor Payments'!$F$2:$F$81,"Pending")</f>
        <v/>
      </c>
      <c r="D23" s="12">
        <f>SUM(B23:C23)</f>
        <v/>
      </c>
    </row>
    <row r="24">
      <c r="A24" s="10" t="inlineStr">
        <is>
          <t>Favors &amp; Gifts</t>
        </is>
      </c>
      <c r="B24" s="12">
        <f>SUMIFS('Vendor Payments'!$D$2:$D$81,'Vendor Payments'!$B$2:$B$81,$A24,'Vendor Payments'!$F$2:$F$81,"Paid")</f>
        <v/>
      </c>
      <c r="C24" s="12">
        <f>SUMIFS('Vendor Payments'!$D$2:$D$81,'Vendor Payments'!$B$2:$B$81,$A24,'Vendor Payments'!$F$2:$F$81,"Pending")</f>
        <v/>
      </c>
      <c r="D24" s="12">
        <f>SUM(B24:C24)</f>
        <v/>
      </c>
    </row>
    <row r="25">
      <c r="A25" s="10" t="inlineStr">
        <is>
          <t>Rehearsal Dinner</t>
        </is>
      </c>
      <c r="B25" s="12">
        <f>SUMIFS('Vendor Payments'!$D$2:$D$81,'Vendor Payments'!$B$2:$B$81,$A25,'Vendor Payments'!$F$2:$F$81,"Paid")</f>
        <v/>
      </c>
      <c r="C25" s="12">
        <f>SUMIFS('Vendor Payments'!$D$2:$D$81,'Vendor Payments'!$B$2:$B$81,$A25,'Vendor Payments'!$F$2:$F$81,"Pending")</f>
        <v/>
      </c>
      <c r="D25" s="12">
        <f>SUM(B25:C25)</f>
        <v/>
      </c>
    </row>
    <row r="26">
      <c r="A26" s="13" t="inlineStr">
        <is>
          <t>Total</t>
        </is>
      </c>
      <c r="B26" s="15">
        <f>SUM(B11:B25)</f>
        <v/>
      </c>
      <c r="C26" s="15">
        <f>SUM(C11:C25)</f>
        <v/>
      </c>
      <c r="D26" s="15">
        <f>SUM(D11:D25)</f>
        <v/>
      </c>
    </row>
    <row r="28">
      <c r="A28" s="9" t="inlineStr">
        <is>
          <t>Custom categories</t>
        </is>
      </c>
      <c r="B28" s="9" t="inlineStr">
        <is>
          <t>Paid ($)</t>
        </is>
      </c>
      <c r="C28" s="9" t="inlineStr">
        <is>
          <t>Pending ($)</t>
        </is>
      </c>
      <c r="D28" s="9" t="inlineStr">
        <is>
          <t>Total ($)</t>
        </is>
      </c>
    </row>
    <row r="29">
      <c r="A29" s="10">
        <f>IF('Custom &amp; Notes'!A3="","",'Custom &amp; Notes'!A3)</f>
        <v/>
      </c>
      <c r="B29" s="12">
        <f>IF($A29="","",SUMIFS('Vendor Payments'!$D$2:$D$81,'Vendor Payments'!$B$2:$B$81,$A29,'Vendor Payments'!$F$2:$F$81,"Paid"))</f>
        <v/>
      </c>
      <c r="C29" s="12">
        <f>IF($A29="","",SUMIFS('Vendor Payments'!$D$2:$D$81,'Vendor Payments'!$B$2:$B$81,$A29,'Vendor Payments'!$F$2:$F$81,"Pending"))</f>
        <v/>
      </c>
      <c r="D29" s="12">
        <f>IF($A29="","",SUM(B29:C29))</f>
        <v/>
      </c>
    </row>
    <row r="30">
      <c r="A30" s="10">
        <f>IF('Custom &amp; Notes'!A4="","",'Custom &amp; Notes'!A4)</f>
        <v/>
      </c>
      <c r="B30" s="12">
        <f>IF($A30="","",SUMIFS('Vendor Payments'!$D$2:$D$81,'Vendor Payments'!$B$2:$B$81,$A30,'Vendor Payments'!$F$2:$F$81,"Paid"))</f>
        <v/>
      </c>
      <c r="C30" s="12">
        <f>IF($A30="","",SUMIFS('Vendor Payments'!$D$2:$D$81,'Vendor Payments'!$B$2:$B$81,$A30,'Vendor Payments'!$F$2:$F$81,"Pending"))</f>
        <v/>
      </c>
      <c r="D30" s="12">
        <f>IF($A30="","",SUM(B30:C30))</f>
        <v/>
      </c>
    </row>
    <row r="31">
      <c r="A31" s="10">
        <f>IF('Custom &amp; Notes'!A5="","",'Custom &amp; Notes'!A5)</f>
        <v/>
      </c>
      <c r="B31" s="12">
        <f>IF($A31="","",SUMIFS('Vendor Payments'!$D$2:$D$81,'Vendor Payments'!$B$2:$B$81,$A31,'Vendor Payments'!$F$2:$F$81,"Paid"))</f>
        <v/>
      </c>
      <c r="C31" s="12">
        <f>IF($A31="","",SUMIFS('Vendor Payments'!$D$2:$D$81,'Vendor Payments'!$B$2:$B$81,$A31,'Vendor Payments'!$F$2:$F$81,"Pending"))</f>
        <v/>
      </c>
      <c r="D31" s="12">
        <f>IF($A31="","",SUM(B31:C31))</f>
        <v/>
      </c>
    </row>
    <row r="32">
      <c r="A32" s="10">
        <f>IF('Custom &amp; Notes'!A6="","",'Custom &amp; Notes'!A6)</f>
        <v/>
      </c>
      <c r="B32" s="12">
        <f>IF($A32="","",SUMIFS('Vendor Payments'!$D$2:$D$81,'Vendor Payments'!$B$2:$B$81,$A32,'Vendor Payments'!$F$2:$F$81,"Paid"))</f>
        <v/>
      </c>
      <c r="C32" s="12">
        <f>IF($A32="","",SUMIFS('Vendor Payments'!$D$2:$D$81,'Vendor Payments'!$B$2:$B$81,$A32,'Vendor Payments'!$F$2:$F$81,"Pending"))</f>
        <v/>
      </c>
      <c r="D32" s="12">
        <f>IF($A32="","",SUM(B32:C32))</f>
        <v/>
      </c>
    </row>
    <row r="33">
      <c r="A33" s="10">
        <f>IF('Custom &amp; Notes'!A7="","",'Custom &amp; Notes'!A7)</f>
        <v/>
      </c>
      <c r="B33" s="12">
        <f>IF($A33="","",SUMIFS('Vendor Payments'!$D$2:$D$81,'Vendor Payments'!$B$2:$B$81,$A33,'Vendor Payments'!$F$2:$F$81,"Paid"))</f>
        <v/>
      </c>
      <c r="C33" s="12">
        <f>IF($A33="","",SUMIFS('Vendor Payments'!$D$2:$D$81,'Vendor Payments'!$B$2:$B$81,$A33,'Vendor Payments'!$F$2:$F$81,"Pending"))</f>
        <v/>
      </c>
      <c r="D33" s="12">
        <f>IF($A33="","",SUM(B33:C33))</f>
        <v/>
      </c>
    </row>
    <row r="34">
      <c r="A34" s="13" t="inlineStr">
        <is>
          <t>Total</t>
        </is>
      </c>
      <c r="B34" s="15">
        <f>SUM(B29:B33)</f>
        <v/>
      </c>
      <c r="C34" s="15">
        <f>SUM(C29:C33)</f>
        <v/>
      </c>
      <c r="D34" s="15">
        <f>SUM(D29:D33)</f>
        <v/>
      </c>
    </row>
    <row r="36">
      <c r="A36" s="6" t="inlineStr">
        <is>
          <t>Grand total (all categories)</t>
        </is>
      </c>
      <c r="B36" s="19">
        <f>B26+B34</f>
        <v/>
      </c>
      <c r="C36" s="19">
        <f>C26+C34</f>
        <v/>
      </c>
      <c r="D36" s="19">
        <f>D26+D34</f>
        <v/>
      </c>
    </row>
    <row r="38">
      <c r="A38" s="20" t="inlineStr">
        <is>
          <t>Grand total (all categories) should match Total committed above.</t>
        </is>
      </c>
    </row>
  </sheetData>
  <mergeCells count="1">
    <mergeCell ref="A38:D38"/>
  </mergeCells>
  <pageMargins left="0.75" right="0.75" top="1" bottom="1" header="0.5" footer="0.5"/>
  <pageSetup orientation="portrait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13" customWidth="1" min="4" max="4"/>
    <col width="13" customWidth="1" min="5" max="5"/>
    <col width="11" customWidth="1" min="6" max="6"/>
    <col width="12" customWidth="1" min="7" max="7"/>
    <col width="14" customWidth="1" min="8" max="8"/>
    <col width="11" customWidth="1" min="9" max="9"/>
  </cols>
  <sheetData>
    <row r="1">
      <c r="A1" s="5" t="inlineStr">
        <is>
          <t>Payment Schedule</t>
        </is>
      </c>
    </row>
    <row r="2" ht="30" customHeight="1">
      <c r="A2" s="16" t="inlineStr">
        <is>
          <t>Rows mirror Vendor Payments. Enter rows there in due-date order, or sort that tab by Due Date.</t>
        </is>
      </c>
    </row>
    <row r="3">
      <c r="A3" s="9" t="inlineStr">
        <is>
          <t>Vendor</t>
        </is>
      </c>
      <c r="B3" s="9" t="inlineStr">
        <is>
          <t>Category</t>
        </is>
      </c>
      <c r="C3" s="9" t="inlineStr">
        <is>
          <t>Item</t>
        </is>
      </c>
      <c r="D3" s="9" t="inlineStr">
        <is>
          <t>Amount ($)</t>
        </is>
      </c>
      <c r="E3" s="9" t="inlineStr">
        <is>
          <t>Due Date</t>
        </is>
      </c>
      <c r="F3" s="9" t="inlineStr">
        <is>
          <t>Status</t>
        </is>
      </c>
      <c r="G3" s="9" t="inlineStr">
        <is>
          <t>Days to Due</t>
        </is>
      </c>
      <c r="H3" s="9" t="inlineStr">
        <is>
          <t>Days to Wedding</t>
        </is>
      </c>
      <c r="I3" s="9" t="inlineStr">
        <is>
          <t>Flag</t>
        </is>
      </c>
    </row>
    <row r="4">
      <c r="A4" s="10">
        <f>IF('Vendor Payments'!A2="","",'Vendor Payments'!A2)</f>
        <v/>
      </c>
      <c r="B4" s="10">
        <f>IF('Vendor Payments'!B2="","",'Vendor Payments'!B2)</f>
        <v/>
      </c>
      <c r="C4" s="10">
        <f>IF('Vendor Payments'!C2="","",'Vendor Payments'!C2)</f>
        <v/>
      </c>
      <c r="D4" s="12">
        <f>IF('Vendor Payments'!D2="","",'Vendor Payments'!D2)</f>
        <v/>
      </c>
      <c r="E4" s="21">
        <f>IF('Vendor Payments'!E2="","",'Vendor Payments'!E2)</f>
        <v/>
      </c>
      <c r="F4" s="10">
        <f>IF('Vendor Payments'!F2="","",'Vendor Payments'!F2)</f>
        <v/>
      </c>
      <c r="G4" s="10">
        <f>IF(E4="","",E4-TODAY())</f>
        <v/>
      </c>
      <c r="H4" s="10">
        <f>IF(OR(E4="",Overview!$B$3=""),"",Overview!$B$3-E4)</f>
        <v/>
      </c>
      <c r="I4" s="10">
        <f>IF(AND(E4&lt;&gt;"",E4&lt;TODAY(),F4="Pending"),"Overdue","")</f>
        <v/>
      </c>
    </row>
    <row r="5">
      <c r="A5" s="10">
        <f>IF('Vendor Payments'!A3="","",'Vendor Payments'!A3)</f>
        <v/>
      </c>
      <c r="B5" s="10">
        <f>IF('Vendor Payments'!B3="","",'Vendor Payments'!B3)</f>
        <v/>
      </c>
      <c r="C5" s="10">
        <f>IF('Vendor Payments'!C3="","",'Vendor Payments'!C3)</f>
        <v/>
      </c>
      <c r="D5" s="12">
        <f>IF('Vendor Payments'!D3="","",'Vendor Payments'!D3)</f>
        <v/>
      </c>
      <c r="E5" s="21">
        <f>IF('Vendor Payments'!E3="","",'Vendor Payments'!E3)</f>
        <v/>
      </c>
      <c r="F5" s="10">
        <f>IF('Vendor Payments'!F3="","",'Vendor Payments'!F3)</f>
        <v/>
      </c>
      <c r="G5" s="10">
        <f>IF(E5="","",E5-TODAY())</f>
        <v/>
      </c>
      <c r="H5" s="10">
        <f>IF(OR(E5="",Overview!$B$3=""),"",Overview!$B$3-E5)</f>
        <v/>
      </c>
      <c r="I5" s="10">
        <f>IF(AND(E5&lt;&gt;"",E5&lt;TODAY(),F5="Pending"),"Overdue","")</f>
        <v/>
      </c>
    </row>
    <row r="6">
      <c r="A6" s="10">
        <f>IF('Vendor Payments'!A4="","",'Vendor Payments'!A4)</f>
        <v/>
      </c>
      <c r="B6" s="10">
        <f>IF('Vendor Payments'!B4="","",'Vendor Payments'!B4)</f>
        <v/>
      </c>
      <c r="C6" s="10">
        <f>IF('Vendor Payments'!C4="","",'Vendor Payments'!C4)</f>
        <v/>
      </c>
      <c r="D6" s="12">
        <f>IF('Vendor Payments'!D4="","",'Vendor Payments'!D4)</f>
        <v/>
      </c>
      <c r="E6" s="21">
        <f>IF('Vendor Payments'!E4="","",'Vendor Payments'!E4)</f>
        <v/>
      </c>
      <c r="F6" s="10">
        <f>IF('Vendor Payments'!F4="","",'Vendor Payments'!F4)</f>
        <v/>
      </c>
      <c r="G6" s="10">
        <f>IF(E6="","",E6-TODAY())</f>
        <v/>
      </c>
      <c r="H6" s="10">
        <f>IF(OR(E6="",Overview!$B$3=""),"",Overview!$B$3-E6)</f>
        <v/>
      </c>
      <c r="I6" s="10">
        <f>IF(AND(E6&lt;&gt;"",E6&lt;TODAY(),F6="Pending"),"Overdue","")</f>
        <v/>
      </c>
    </row>
    <row r="7">
      <c r="A7" s="10">
        <f>IF('Vendor Payments'!A5="","",'Vendor Payments'!A5)</f>
        <v/>
      </c>
      <c r="B7" s="10">
        <f>IF('Vendor Payments'!B5="","",'Vendor Payments'!B5)</f>
        <v/>
      </c>
      <c r="C7" s="10">
        <f>IF('Vendor Payments'!C5="","",'Vendor Payments'!C5)</f>
        <v/>
      </c>
      <c r="D7" s="12">
        <f>IF('Vendor Payments'!D5="","",'Vendor Payments'!D5)</f>
        <v/>
      </c>
      <c r="E7" s="21">
        <f>IF('Vendor Payments'!E5="","",'Vendor Payments'!E5)</f>
        <v/>
      </c>
      <c r="F7" s="10">
        <f>IF('Vendor Payments'!F5="","",'Vendor Payments'!F5)</f>
        <v/>
      </c>
      <c r="G7" s="10">
        <f>IF(E7="","",E7-TODAY())</f>
        <v/>
      </c>
      <c r="H7" s="10">
        <f>IF(OR(E7="",Overview!$B$3=""),"",Overview!$B$3-E7)</f>
        <v/>
      </c>
      <c r="I7" s="10">
        <f>IF(AND(E7&lt;&gt;"",E7&lt;TODAY(),F7="Pending"),"Overdue","")</f>
        <v/>
      </c>
    </row>
    <row r="8">
      <c r="A8" s="10">
        <f>IF('Vendor Payments'!A6="","",'Vendor Payments'!A6)</f>
        <v/>
      </c>
      <c r="B8" s="10">
        <f>IF('Vendor Payments'!B6="","",'Vendor Payments'!B6)</f>
        <v/>
      </c>
      <c r="C8" s="10">
        <f>IF('Vendor Payments'!C6="","",'Vendor Payments'!C6)</f>
        <v/>
      </c>
      <c r="D8" s="12">
        <f>IF('Vendor Payments'!D6="","",'Vendor Payments'!D6)</f>
        <v/>
      </c>
      <c r="E8" s="21">
        <f>IF('Vendor Payments'!E6="","",'Vendor Payments'!E6)</f>
        <v/>
      </c>
      <c r="F8" s="10">
        <f>IF('Vendor Payments'!F6="","",'Vendor Payments'!F6)</f>
        <v/>
      </c>
      <c r="G8" s="10">
        <f>IF(E8="","",E8-TODAY())</f>
        <v/>
      </c>
      <c r="H8" s="10">
        <f>IF(OR(E8="",Overview!$B$3=""),"",Overview!$B$3-E8)</f>
        <v/>
      </c>
      <c r="I8" s="10">
        <f>IF(AND(E8&lt;&gt;"",E8&lt;TODAY(),F8="Pending"),"Overdue","")</f>
        <v/>
      </c>
    </row>
    <row r="9">
      <c r="A9" s="10">
        <f>IF('Vendor Payments'!A7="","",'Vendor Payments'!A7)</f>
        <v/>
      </c>
      <c r="B9" s="10">
        <f>IF('Vendor Payments'!B7="","",'Vendor Payments'!B7)</f>
        <v/>
      </c>
      <c r="C9" s="10">
        <f>IF('Vendor Payments'!C7="","",'Vendor Payments'!C7)</f>
        <v/>
      </c>
      <c r="D9" s="12">
        <f>IF('Vendor Payments'!D7="","",'Vendor Payments'!D7)</f>
        <v/>
      </c>
      <c r="E9" s="21">
        <f>IF('Vendor Payments'!E7="","",'Vendor Payments'!E7)</f>
        <v/>
      </c>
      <c r="F9" s="10">
        <f>IF('Vendor Payments'!F7="","",'Vendor Payments'!F7)</f>
        <v/>
      </c>
      <c r="G9" s="10">
        <f>IF(E9="","",E9-TODAY())</f>
        <v/>
      </c>
      <c r="H9" s="10">
        <f>IF(OR(E9="",Overview!$B$3=""),"",Overview!$B$3-E9)</f>
        <v/>
      </c>
      <c r="I9" s="10">
        <f>IF(AND(E9&lt;&gt;"",E9&lt;TODAY(),F9="Pending"),"Overdue","")</f>
        <v/>
      </c>
    </row>
    <row r="10">
      <c r="A10" s="10">
        <f>IF('Vendor Payments'!A8="","",'Vendor Payments'!A8)</f>
        <v/>
      </c>
      <c r="B10" s="10">
        <f>IF('Vendor Payments'!B8="","",'Vendor Payments'!B8)</f>
        <v/>
      </c>
      <c r="C10" s="10">
        <f>IF('Vendor Payments'!C8="","",'Vendor Payments'!C8)</f>
        <v/>
      </c>
      <c r="D10" s="12">
        <f>IF('Vendor Payments'!D8="","",'Vendor Payments'!D8)</f>
        <v/>
      </c>
      <c r="E10" s="21">
        <f>IF('Vendor Payments'!E8="","",'Vendor Payments'!E8)</f>
        <v/>
      </c>
      <c r="F10" s="10">
        <f>IF('Vendor Payments'!F8="","",'Vendor Payments'!F8)</f>
        <v/>
      </c>
      <c r="G10" s="10">
        <f>IF(E10="","",E10-TODAY())</f>
        <v/>
      </c>
      <c r="H10" s="10">
        <f>IF(OR(E10="",Overview!$B$3=""),"",Overview!$B$3-E10)</f>
        <v/>
      </c>
      <c r="I10" s="10">
        <f>IF(AND(E10&lt;&gt;"",E10&lt;TODAY(),F10="Pending"),"Overdue","")</f>
        <v/>
      </c>
    </row>
    <row r="11">
      <c r="A11" s="10">
        <f>IF('Vendor Payments'!A9="","",'Vendor Payments'!A9)</f>
        <v/>
      </c>
      <c r="B11" s="10">
        <f>IF('Vendor Payments'!B9="","",'Vendor Payments'!B9)</f>
        <v/>
      </c>
      <c r="C11" s="10">
        <f>IF('Vendor Payments'!C9="","",'Vendor Payments'!C9)</f>
        <v/>
      </c>
      <c r="D11" s="12">
        <f>IF('Vendor Payments'!D9="","",'Vendor Payments'!D9)</f>
        <v/>
      </c>
      <c r="E11" s="21">
        <f>IF('Vendor Payments'!E9="","",'Vendor Payments'!E9)</f>
        <v/>
      </c>
      <c r="F11" s="10">
        <f>IF('Vendor Payments'!F9="","",'Vendor Payments'!F9)</f>
        <v/>
      </c>
      <c r="G11" s="10">
        <f>IF(E11="","",E11-TODAY())</f>
        <v/>
      </c>
      <c r="H11" s="10">
        <f>IF(OR(E11="",Overview!$B$3=""),"",Overview!$B$3-E11)</f>
        <v/>
      </c>
      <c r="I11" s="10">
        <f>IF(AND(E11&lt;&gt;"",E11&lt;TODAY(),F11="Pending"),"Overdue","")</f>
        <v/>
      </c>
    </row>
    <row r="12">
      <c r="A12" s="10">
        <f>IF('Vendor Payments'!A10="","",'Vendor Payments'!A10)</f>
        <v/>
      </c>
      <c r="B12" s="10">
        <f>IF('Vendor Payments'!B10="","",'Vendor Payments'!B10)</f>
        <v/>
      </c>
      <c r="C12" s="10">
        <f>IF('Vendor Payments'!C10="","",'Vendor Payments'!C10)</f>
        <v/>
      </c>
      <c r="D12" s="12">
        <f>IF('Vendor Payments'!D10="","",'Vendor Payments'!D10)</f>
        <v/>
      </c>
      <c r="E12" s="21">
        <f>IF('Vendor Payments'!E10="","",'Vendor Payments'!E10)</f>
        <v/>
      </c>
      <c r="F12" s="10">
        <f>IF('Vendor Payments'!F10="","",'Vendor Payments'!F10)</f>
        <v/>
      </c>
      <c r="G12" s="10">
        <f>IF(E12="","",E12-TODAY())</f>
        <v/>
      </c>
      <c r="H12" s="10">
        <f>IF(OR(E12="",Overview!$B$3=""),"",Overview!$B$3-E12)</f>
        <v/>
      </c>
      <c r="I12" s="10">
        <f>IF(AND(E12&lt;&gt;"",E12&lt;TODAY(),F12="Pending"),"Overdue","")</f>
        <v/>
      </c>
    </row>
    <row r="13">
      <c r="A13" s="10">
        <f>IF('Vendor Payments'!A11="","",'Vendor Payments'!A11)</f>
        <v/>
      </c>
      <c r="B13" s="10">
        <f>IF('Vendor Payments'!B11="","",'Vendor Payments'!B11)</f>
        <v/>
      </c>
      <c r="C13" s="10">
        <f>IF('Vendor Payments'!C11="","",'Vendor Payments'!C11)</f>
        <v/>
      </c>
      <c r="D13" s="12">
        <f>IF('Vendor Payments'!D11="","",'Vendor Payments'!D11)</f>
        <v/>
      </c>
      <c r="E13" s="21">
        <f>IF('Vendor Payments'!E11="","",'Vendor Payments'!E11)</f>
        <v/>
      </c>
      <c r="F13" s="10">
        <f>IF('Vendor Payments'!F11="","",'Vendor Payments'!F11)</f>
        <v/>
      </c>
      <c r="G13" s="10">
        <f>IF(E13="","",E13-TODAY())</f>
        <v/>
      </c>
      <c r="H13" s="10">
        <f>IF(OR(E13="",Overview!$B$3=""),"",Overview!$B$3-E13)</f>
        <v/>
      </c>
      <c r="I13" s="10">
        <f>IF(AND(E13&lt;&gt;"",E13&lt;TODAY(),F13="Pending"),"Overdue","")</f>
        <v/>
      </c>
    </row>
    <row r="14">
      <c r="A14" s="10">
        <f>IF('Vendor Payments'!A12="","",'Vendor Payments'!A12)</f>
        <v/>
      </c>
      <c r="B14" s="10">
        <f>IF('Vendor Payments'!B12="","",'Vendor Payments'!B12)</f>
        <v/>
      </c>
      <c r="C14" s="10">
        <f>IF('Vendor Payments'!C12="","",'Vendor Payments'!C12)</f>
        <v/>
      </c>
      <c r="D14" s="12">
        <f>IF('Vendor Payments'!D12="","",'Vendor Payments'!D12)</f>
        <v/>
      </c>
      <c r="E14" s="21">
        <f>IF('Vendor Payments'!E12="","",'Vendor Payments'!E12)</f>
        <v/>
      </c>
      <c r="F14" s="10">
        <f>IF('Vendor Payments'!F12="","",'Vendor Payments'!F12)</f>
        <v/>
      </c>
      <c r="G14" s="10">
        <f>IF(E14="","",E14-TODAY())</f>
        <v/>
      </c>
      <c r="H14" s="10">
        <f>IF(OR(E14="",Overview!$B$3=""),"",Overview!$B$3-E14)</f>
        <v/>
      </c>
      <c r="I14" s="10">
        <f>IF(AND(E14&lt;&gt;"",E14&lt;TODAY(),F14="Pending"),"Overdue","")</f>
        <v/>
      </c>
    </row>
    <row r="15">
      <c r="A15" s="10">
        <f>IF('Vendor Payments'!A13="","",'Vendor Payments'!A13)</f>
        <v/>
      </c>
      <c r="B15" s="10">
        <f>IF('Vendor Payments'!B13="","",'Vendor Payments'!B13)</f>
        <v/>
      </c>
      <c r="C15" s="10">
        <f>IF('Vendor Payments'!C13="","",'Vendor Payments'!C13)</f>
        <v/>
      </c>
      <c r="D15" s="12">
        <f>IF('Vendor Payments'!D13="","",'Vendor Payments'!D13)</f>
        <v/>
      </c>
      <c r="E15" s="21">
        <f>IF('Vendor Payments'!E13="","",'Vendor Payments'!E13)</f>
        <v/>
      </c>
      <c r="F15" s="10">
        <f>IF('Vendor Payments'!F13="","",'Vendor Payments'!F13)</f>
        <v/>
      </c>
      <c r="G15" s="10">
        <f>IF(E15="","",E15-TODAY())</f>
        <v/>
      </c>
      <c r="H15" s="10">
        <f>IF(OR(E15="",Overview!$B$3=""),"",Overview!$B$3-E15)</f>
        <v/>
      </c>
      <c r="I15" s="10">
        <f>IF(AND(E15&lt;&gt;"",E15&lt;TODAY(),F15="Pending"),"Overdue","")</f>
        <v/>
      </c>
    </row>
    <row r="16">
      <c r="A16" s="10">
        <f>IF('Vendor Payments'!A14="","",'Vendor Payments'!A14)</f>
        <v/>
      </c>
      <c r="B16" s="10">
        <f>IF('Vendor Payments'!B14="","",'Vendor Payments'!B14)</f>
        <v/>
      </c>
      <c r="C16" s="10">
        <f>IF('Vendor Payments'!C14="","",'Vendor Payments'!C14)</f>
        <v/>
      </c>
      <c r="D16" s="12">
        <f>IF('Vendor Payments'!D14="","",'Vendor Payments'!D14)</f>
        <v/>
      </c>
      <c r="E16" s="21">
        <f>IF('Vendor Payments'!E14="","",'Vendor Payments'!E14)</f>
        <v/>
      </c>
      <c r="F16" s="10">
        <f>IF('Vendor Payments'!F14="","",'Vendor Payments'!F14)</f>
        <v/>
      </c>
      <c r="G16" s="10">
        <f>IF(E16="","",E16-TODAY())</f>
        <v/>
      </c>
      <c r="H16" s="10">
        <f>IF(OR(E16="",Overview!$B$3=""),"",Overview!$B$3-E16)</f>
        <v/>
      </c>
      <c r="I16" s="10">
        <f>IF(AND(E16&lt;&gt;"",E16&lt;TODAY(),F16="Pending"),"Overdue","")</f>
        <v/>
      </c>
    </row>
    <row r="17">
      <c r="A17" s="10">
        <f>IF('Vendor Payments'!A15="","",'Vendor Payments'!A15)</f>
        <v/>
      </c>
      <c r="B17" s="10">
        <f>IF('Vendor Payments'!B15="","",'Vendor Payments'!B15)</f>
        <v/>
      </c>
      <c r="C17" s="10">
        <f>IF('Vendor Payments'!C15="","",'Vendor Payments'!C15)</f>
        <v/>
      </c>
      <c r="D17" s="12">
        <f>IF('Vendor Payments'!D15="","",'Vendor Payments'!D15)</f>
        <v/>
      </c>
      <c r="E17" s="21">
        <f>IF('Vendor Payments'!E15="","",'Vendor Payments'!E15)</f>
        <v/>
      </c>
      <c r="F17" s="10">
        <f>IF('Vendor Payments'!F15="","",'Vendor Payments'!F15)</f>
        <v/>
      </c>
      <c r="G17" s="10">
        <f>IF(E17="","",E17-TODAY())</f>
        <v/>
      </c>
      <c r="H17" s="10">
        <f>IF(OR(E17="",Overview!$B$3=""),"",Overview!$B$3-E17)</f>
        <v/>
      </c>
      <c r="I17" s="10">
        <f>IF(AND(E17&lt;&gt;"",E17&lt;TODAY(),F17="Pending"),"Overdue","")</f>
        <v/>
      </c>
    </row>
    <row r="18">
      <c r="A18" s="10">
        <f>IF('Vendor Payments'!A16="","",'Vendor Payments'!A16)</f>
        <v/>
      </c>
      <c r="B18" s="10">
        <f>IF('Vendor Payments'!B16="","",'Vendor Payments'!B16)</f>
        <v/>
      </c>
      <c r="C18" s="10">
        <f>IF('Vendor Payments'!C16="","",'Vendor Payments'!C16)</f>
        <v/>
      </c>
      <c r="D18" s="12">
        <f>IF('Vendor Payments'!D16="","",'Vendor Payments'!D16)</f>
        <v/>
      </c>
      <c r="E18" s="21">
        <f>IF('Vendor Payments'!E16="","",'Vendor Payments'!E16)</f>
        <v/>
      </c>
      <c r="F18" s="10">
        <f>IF('Vendor Payments'!F16="","",'Vendor Payments'!F16)</f>
        <v/>
      </c>
      <c r="G18" s="10">
        <f>IF(E18="","",E18-TODAY())</f>
        <v/>
      </c>
      <c r="H18" s="10">
        <f>IF(OR(E18="",Overview!$B$3=""),"",Overview!$B$3-E18)</f>
        <v/>
      </c>
      <c r="I18" s="10">
        <f>IF(AND(E18&lt;&gt;"",E18&lt;TODAY(),F18="Pending"),"Overdue","")</f>
        <v/>
      </c>
    </row>
    <row r="19">
      <c r="A19" s="10">
        <f>IF('Vendor Payments'!A17="","",'Vendor Payments'!A17)</f>
        <v/>
      </c>
      <c r="B19" s="10">
        <f>IF('Vendor Payments'!B17="","",'Vendor Payments'!B17)</f>
        <v/>
      </c>
      <c r="C19" s="10">
        <f>IF('Vendor Payments'!C17="","",'Vendor Payments'!C17)</f>
        <v/>
      </c>
      <c r="D19" s="12">
        <f>IF('Vendor Payments'!D17="","",'Vendor Payments'!D17)</f>
        <v/>
      </c>
      <c r="E19" s="21">
        <f>IF('Vendor Payments'!E17="","",'Vendor Payments'!E17)</f>
        <v/>
      </c>
      <c r="F19" s="10">
        <f>IF('Vendor Payments'!F17="","",'Vendor Payments'!F17)</f>
        <v/>
      </c>
      <c r="G19" s="10">
        <f>IF(E19="","",E19-TODAY())</f>
        <v/>
      </c>
      <c r="H19" s="10">
        <f>IF(OR(E19="",Overview!$B$3=""),"",Overview!$B$3-E19)</f>
        <v/>
      </c>
      <c r="I19" s="10">
        <f>IF(AND(E19&lt;&gt;"",E19&lt;TODAY(),F19="Pending"),"Overdue","")</f>
        <v/>
      </c>
    </row>
    <row r="20">
      <c r="A20" s="10">
        <f>IF('Vendor Payments'!A18="","",'Vendor Payments'!A18)</f>
        <v/>
      </c>
      <c r="B20" s="10">
        <f>IF('Vendor Payments'!B18="","",'Vendor Payments'!B18)</f>
        <v/>
      </c>
      <c r="C20" s="10">
        <f>IF('Vendor Payments'!C18="","",'Vendor Payments'!C18)</f>
        <v/>
      </c>
      <c r="D20" s="12">
        <f>IF('Vendor Payments'!D18="","",'Vendor Payments'!D18)</f>
        <v/>
      </c>
      <c r="E20" s="21">
        <f>IF('Vendor Payments'!E18="","",'Vendor Payments'!E18)</f>
        <v/>
      </c>
      <c r="F20" s="10">
        <f>IF('Vendor Payments'!F18="","",'Vendor Payments'!F18)</f>
        <v/>
      </c>
      <c r="G20" s="10">
        <f>IF(E20="","",E20-TODAY())</f>
        <v/>
      </c>
      <c r="H20" s="10">
        <f>IF(OR(E20="",Overview!$B$3=""),"",Overview!$B$3-E20)</f>
        <v/>
      </c>
      <c r="I20" s="10">
        <f>IF(AND(E20&lt;&gt;"",E20&lt;TODAY(),F20="Pending"),"Overdue","")</f>
        <v/>
      </c>
    </row>
    <row r="21">
      <c r="A21" s="10">
        <f>IF('Vendor Payments'!A19="","",'Vendor Payments'!A19)</f>
        <v/>
      </c>
      <c r="B21" s="10">
        <f>IF('Vendor Payments'!B19="","",'Vendor Payments'!B19)</f>
        <v/>
      </c>
      <c r="C21" s="10">
        <f>IF('Vendor Payments'!C19="","",'Vendor Payments'!C19)</f>
        <v/>
      </c>
      <c r="D21" s="12">
        <f>IF('Vendor Payments'!D19="","",'Vendor Payments'!D19)</f>
        <v/>
      </c>
      <c r="E21" s="21">
        <f>IF('Vendor Payments'!E19="","",'Vendor Payments'!E19)</f>
        <v/>
      </c>
      <c r="F21" s="10">
        <f>IF('Vendor Payments'!F19="","",'Vendor Payments'!F19)</f>
        <v/>
      </c>
      <c r="G21" s="10">
        <f>IF(E21="","",E21-TODAY())</f>
        <v/>
      </c>
      <c r="H21" s="10">
        <f>IF(OR(E21="",Overview!$B$3=""),"",Overview!$B$3-E21)</f>
        <v/>
      </c>
      <c r="I21" s="10">
        <f>IF(AND(E21&lt;&gt;"",E21&lt;TODAY(),F21="Pending"),"Overdue","")</f>
        <v/>
      </c>
    </row>
    <row r="22">
      <c r="A22" s="10">
        <f>IF('Vendor Payments'!A20="","",'Vendor Payments'!A20)</f>
        <v/>
      </c>
      <c r="B22" s="10">
        <f>IF('Vendor Payments'!B20="","",'Vendor Payments'!B20)</f>
        <v/>
      </c>
      <c r="C22" s="10">
        <f>IF('Vendor Payments'!C20="","",'Vendor Payments'!C20)</f>
        <v/>
      </c>
      <c r="D22" s="12">
        <f>IF('Vendor Payments'!D20="","",'Vendor Payments'!D20)</f>
        <v/>
      </c>
      <c r="E22" s="21">
        <f>IF('Vendor Payments'!E20="","",'Vendor Payments'!E20)</f>
        <v/>
      </c>
      <c r="F22" s="10">
        <f>IF('Vendor Payments'!F20="","",'Vendor Payments'!F20)</f>
        <v/>
      </c>
      <c r="G22" s="10">
        <f>IF(E22="","",E22-TODAY())</f>
        <v/>
      </c>
      <c r="H22" s="10">
        <f>IF(OR(E22="",Overview!$B$3=""),"",Overview!$B$3-E22)</f>
        <v/>
      </c>
      <c r="I22" s="10">
        <f>IF(AND(E22&lt;&gt;"",E22&lt;TODAY(),F22="Pending"),"Overdue","")</f>
        <v/>
      </c>
    </row>
    <row r="23">
      <c r="A23" s="10">
        <f>IF('Vendor Payments'!A21="","",'Vendor Payments'!A21)</f>
        <v/>
      </c>
      <c r="B23" s="10">
        <f>IF('Vendor Payments'!B21="","",'Vendor Payments'!B21)</f>
        <v/>
      </c>
      <c r="C23" s="10">
        <f>IF('Vendor Payments'!C21="","",'Vendor Payments'!C21)</f>
        <v/>
      </c>
      <c r="D23" s="12">
        <f>IF('Vendor Payments'!D21="","",'Vendor Payments'!D21)</f>
        <v/>
      </c>
      <c r="E23" s="21">
        <f>IF('Vendor Payments'!E21="","",'Vendor Payments'!E21)</f>
        <v/>
      </c>
      <c r="F23" s="10">
        <f>IF('Vendor Payments'!F21="","",'Vendor Payments'!F21)</f>
        <v/>
      </c>
      <c r="G23" s="10">
        <f>IF(E23="","",E23-TODAY())</f>
        <v/>
      </c>
      <c r="H23" s="10">
        <f>IF(OR(E23="",Overview!$B$3=""),"",Overview!$B$3-E23)</f>
        <v/>
      </c>
      <c r="I23" s="10">
        <f>IF(AND(E23&lt;&gt;"",E23&lt;TODAY(),F23="Pending"),"Overdue","")</f>
        <v/>
      </c>
    </row>
    <row r="24">
      <c r="A24" s="10">
        <f>IF('Vendor Payments'!A22="","",'Vendor Payments'!A22)</f>
        <v/>
      </c>
      <c r="B24" s="10">
        <f>IF('Vendor Payments'!B22="","",'Vendor Payments'!B22)</f>
        <v/>
      </c>
      <c r="C24" s="10">
        <f>IF('Vendor Payments'!C22="","",'Vendor Payments'!C22)</f>
        <v/>
      </c>
      <c r="D24" s="12">
        <f>IF('Vendor Payments'!D22="","",'Vendor Payments'!D22)</f>
        <v/>
      </c>
      <c r="E24" s="21">
        <f>IF('Vendor Payments'!E22="","",'Vendor Payments'!E22)</f>
        <v/>
      </c>
      <c r="F24" s="10">
        <f>IF('Vendor Payments'!F22="","",'Vendor Payments'!F22)</f>
        <v/>
      </c>
      <c r="G24" s="10">
        <f>IF(E24="","",E24-TODAY())</f>
        <v/>
      </c>
      <c r="H24" s="10">
        <f>IF(OR(E24="",Overview!$B$3=""),"",Overview!$B$3-E24)</f>
        <v/>
      </c>
      <c r="I24" s="10">
        <f>IF(AND(E24&lt;&gt;"",E24&lt;TODAY(),F24="Pending"),"Overdue","")</f>
        <v/>
      </c>
    </row>
    <row r="25">
      <c r="A25" s="10">
        <f>IF('Vendor Payments'!A23="","",'Vendor Payments'!A23)</f>
        <v/>
      </c>
      <c r="B25" s="10">
        <f>IF('Vendor Payments'!B23="","",'Vendor Payments'!B23)</f>
        <v/>
      </c>
      <c r="C25" s="10">
        <f>IF('Vendor Payments'!C23="","",'Vendor Payments'!C23)</f>
        <v/>
      </c>
      <c r="D25" s="12">
        <f>IF('Vendor Payments'!D23="","",'Vendor Payments'!D23)</f>
        <v/>
      </c>
      <c r="E25" s="21">
        <f>IF('Vendor Payments'!E23="","",'Vendor Payments'!E23)</f>
        <v/>
      </c>
      <c r="F25" s="10">
        <f>IF('Vendor Payments'!F23="","",'Vendor Payments'!F23)</f>
        <v/>
      </c>
      <c r="G25" s="10">
        <f>IF(E25="","",E25-TODAY())</f>
        <v/>
      </c>
      <c r="H25" s="10">
        <f>IF(OR(E25="",Overview!$B$3=""),"",Overview!$B$3-E25)</f>
        <v/>
      </c>
      <c r="I25" s="10">
        <f>IF(AND(E25&lt;&gt;"",E25&lt;TODAY(),F25="Pending"),"Overdue","")</f>
        <v/>
      </c>
    </row>
    <row r="26">
      <c r="A26" s="10">
        <f>IF('Vendor Payments'!A24="","",'Vendor Payments'!A24)</f>
        <v/>
      </c>
      <c r="B26" s="10">
        <f>IF('Vendor Payments'!B24="","",'Vendor Payments'!B24)</f>
        <v/>
      </c>
      <c r="C26" s="10">
        <f>IF('Vendor Payments'!C24="","",'Vendor Payments'!C24)</f>
        <v/>
      </c>
      <c r="D26" s="12">
        <f>IF('Vendor Payments'!D24="","",'Vendor Payments'!D24)</f>
        <v/>
      </c>
      <c r="E26" s="21">
        <f>IF('Vendor Payments'!E24="","",'Vendor Payments'!E24)</f>
        <v/>
      </c>
      <c r="F26" s="10">
        <f>IF('Vendor Payments'!F24="","",'Vendor Payments'!F24)</f>
        <v/>
      </c>
      <c r="G26" s="10">
        <f>IF(E26="","",E26-TODAY())</f>
        <v/>
      </c>
      <c r="H26" s="10">
        <f>IF(OR(E26="",Overview!$B$3=""),"",Overview!$B$3-E26)</f>
        <v/>
      </c>
      <c r="I26" s="10">
        <f>IF(AND(E26&lt;&gt;"",E26&lt;TODAY(),F26="Pending"),"Overdue","")</f>
        <v/>
      </c>
    </row>
    <row r="27">
      <c r="A27" s="10">
        <f>IF('Vendor Payments'!A25="","",'Vendor Payments'!A25)</f>
        <v/>
      </c>
      <c r="B27" s="10">
        <f>IF('Vendor Payments'!B25="","",'Vendor Payments'!B25)</f>
        <v/>
      </c>
      <c r="C27" s="10">
        <f>IF('Vendor Payments'!C25="","",'Vendor Payments'!C25)</f>
        <v/>
      </c>
      <c r="D27" s="12">
        <f>IF('Vendor Payments'!D25="","",'Vendor Payments'!D25)</f>
        <v/>
      </c>
      <c r="E27" s="21">
        <f>IF('Vendor Payments'!E25="","",'Vendor Payments'!E25)</f>
        <v/>
      </c>
      <c r="F27" s="10">
        <f>IF('Vendor Payments'!F25="","",'Vendor Payments'!F25)</f>
        <v/>
      </c>
      <c r="G27" s="10">
        <f>IF(E27="","",E27-TODAY())</f>
        <v/>
      </c>
      <c r="H27" s="10">
        <f>IF(OR(E27="",Overview!$B$3=""),"",Overview!$B$3-E27)</f>
        <v/>
      </c>
      <c r="I27" s="10">
        <f>IF(AND(E27&lt;&gt;"",E27&lt;TODAY(),F27="Pending"),"Overdue","")</f>
        <v/>
      </c>
    </row>
    <row r="28">
      <c r="A28" s="10">
        <f>IF('Vendor Payments'!A26="","",'Vendor Payments'!A26)</f>
        <v/>
      </c>
      <c r="B28" s="10">
        <f>IF('Vendor Payments'!B26="","",'Vendor Payments'!B26)</f>
        <v/>
      </c>
      <c r="C28" s="10">
        <f>IF('Vendor Payments'!C26="","",'Vendor Payments'!C26)</f>
        <v/>
      </c>
      <c r="D28" s="12">
        <f>IF('Vendor Payments'!D26="","",'Vendor Payments'!D26)</f>
        <v/>
      </c>
      <c r="E28" s="21">
        <f>IF('Vendor Payments'!E26="","",'Vendor Payments'!E26)</f>
        <v/>
      </c>
      <c r="F28" s="10">
        <f>IF('Vendor Payments'!F26="","",'Vendor Payments'!F26)</f>
        <v/>
      </c>
      <c r="G28" s="10">
        <f>IF(E28="","",E28-TODAY())</f>
        <v/>
      </c>
      <c r="H28" s="10">
        <f>IF(OR(E28="",Overview!$B$3=""),"",Overview!$B$3-E28)</f>
        <v/>
      </c>
      <c r="I28" s="10">
        <f>IF(AND(E28&lt;&gt;"",E28&lt;TODAY(),F28="Pending"),"Overdue","")</f>
        <v/>
      </c>
    </row>
    <row r="29">
      <c r="A29" s="10">
        <f>IF('Vendor Payments'!A27="","",'Vendor Payments'!A27)</f>
        <v/>
      </c>
      <c r="B29" s="10">
        <f>IF('Vendor Payments'!B27="","",'Vendor Payments'!B27)</f>
        <v/>
      </c>
      <c r="C29" s="10">
        <f>IF('Vendor Payments'!C27="","",'Vendor Payments'!C27)</f>
        <v/>
      </c>
      <c r="D29" s="12">
        <f>IF('Vendor Payments'!D27="","",'Vendor Payments'!D27)</f>
        <v/>
      </c>
      <c r="E29" s="21">
        <f>IF('Vendor Payments'!E27="","",'Vendor Payments'!E27)</f>
        <v/>
      </c>
      <c r="F29" s="10">
        <f>IF('Vendor Payments'!F27="","",'Vendor Payments'!F27)</f>
        <v/>
      </c>
      <c r="G29" s="10">
        <f>IF(E29="","",E29-TODAY())</f>
        <v/>
      </c>
      <c r="H29" s="10">
        <f>IF(OR(E29="",Overview!$B$3=""),"",Overview!$B$3-E29)</f>
        <v/>
      </c>
      <c r="I29" s="10">
        <f>IF(AND(E29&lt;&gt;"",E29&lt;TODAY(),F29="Pending"),"Overdue","")</f>
        <v/>
      </c>
    </row>
    <row r="30">
      <c r="A30" s="10">
        <f>IF('Vendor Payments'!A28="","",'Vendor Payments'!A28)</f>
        <v/>
      </c>
      <c r="B30" s="10">
        <f>IF('Vendor Payments'!B28="","",'Vendor Payments'!B28)</f>
        <v/>
      </c>
      <c r="C30" s="10">
        <f>IF('Vendor Payments'!C28="","",'Vendor Payments'!C28)</f>
        <v/>
      </c>
      <c r="D30" s="12">
        <f>IF('Vendor Payments'!D28="","",'Vendor Payments'!D28)</f>
        <v/>
      </c>
      <c r="E30" s="21">
        <f>IF('Vendor Payments'!E28="","",'Vendor Payments'!E28)</f>
        <v/>
      </c>
      <c r="F30" s="10">
        <f>IF('Vendor Payments'!F28="","",'Vendor Payments'!F28)</f>
        <v/>
      </c>
      <c r="G30" s="10">
        <f>IF(E30="","",E30-TODAY())</f>
        <v/>
      </c>
      <c r="H30" s="10">
        <f>IF(OR(E30="",Overview!$B$3=""),"",Overview!$B$3-E30)</f>
        <v/>
      </c>
      <c r="I30" s="10">
        <f>IF(AND(E30&lt;&gt;"",E30&lt;TODAY(),F30="Pending"),"Overdue","")</f>
        <v/>
      </c>
    </row>
    <row r="31">
      <c r="A31" s="10">
        <f>IF('Vendor Payments'!A29="","",'Vendor Payments'!A29)</f>
        <v/>
      </c>
      <c r="B31" s="10">
        <f>IF('Vendor Payments'!B29="","",'Vendor Payments'!B29)</f>
        <v/>
      </c>
      <c r="C31" s="10">
        <f>IF('Vendor Payments'!C29="","",'Vendor Payments'!C29)</f>
        <v/>
      </c>
      <c r="D31" s="12">
        <f>IF('Vendor Payments'!D29="","",'Vendor Payments'!D29)</f>
        <v/>
      </c>
      <c r="E31" s="21">
        <f>IF('Vendor Payments'!E29="","",'Vendor Payments'!E29)</f>
        <v/>
      </c>
      <c r="F31" s="10">
        <f>IF('Vendor Payments'!F29="","",'Vendor Payments'!F29)</f>
        <v/>
      </c>
      <c r="G31" s="10">
        <f>IF(E31="","",E31-TODAY())</f>
        <v/>
      </c>
      <c r="H31" s="10">
        <f>IF(OR(E31="",Overview!$B$3=""),"",Overview!$B$3-E31)</f>
        <v/>
      </c>
      <c r="I31" s="10">
        <f>IF(AND(E31&lt;&gt;"",E31&lt;TODAY(),F31="Pending"),"Overdue","")</f>
        <v/>
      </c>
    </row>
    <row r="32">
      <c r="A32" s="10">
        <f>IF('Vendor Payments'!A30="","",'Vendor Payments'!A30)</f>
        <v/>
      </c>
      <c r="B32" s="10">
        <f>IF('Vendor Payments'!B30="","",'Vendor Payments'!B30)</f>
        <v/>
      </c>
      <c r="C32" s="10">
        <f>IF('Vendor Payments'!C30="","",'Vendor Payments'!C30)</f>
        <v/>
      </c>
      <c r="D32" s="12">
        <f>IF('Vendor Payments'!D30="","",'Vendor Payments'!D30)</f>
        <v/>
      </c>
      <c r="E32" s="21">
        <f>IF('Vendor Payments'!E30="","",'Vendor Payments'!E30)</f>
        <v/>
      </c>
      <c r="F32" s="10">
        <f>IF('Vendor Payments'!F30="","",'Vendor Payments'!F30)</f>
        <v/>
      </c>
      <c r="G32" s="10">
        <f>IF(E32="","",E32-TODAY())</f>
        <v/>
      </c>
      <c r="H32" s="10">
        <f>IF(OR(E32="",Overview!$B$3=""),"",Overview!$B$3-E32)</f>
        <v/>
      </c>
      <c r="I32" s="10">
        <f>IF(AND(E32&lt;&gt;"",E32&lt;TODAY(),F32="Pending"),"Overdue","")</f>
        <v/>
      </c>
    </row>
    <row r="33">
      <c r="A33" s="10">
        <f>IF('Vendor Payments'!A31="","",'Vendor Payments'!A31)</f>
        <v/>
      </c>
      <c r="B33" s="10">
        <f>IF('Vendor Payments'!B31="","",'Vendor Payments'!B31)</f>
        <v/>
      </c>
      <c r="C33" s="10">
        <f>IF('Vendor Payments'!C31="","",'Vendor Payments'!C31)</f>
        <v/>
      </c>
      <c r="D33" s="12">
        <f>IF('Vendor Payments'!D31="","",'Vendor Payments'!D31)</f>
        <v/>
      </c>
      <c r="E33" s="21">
        <f>IF('Vendor Payments'!E31="","",'Vendor Payments'!E31)</f>
        <v/>
      </c>
      <c r="F33" s="10">
        <f>IF('Vendor Payments'!F31="","",'Vendor Payments'!F31)</f>
        <v/>
      </c>
      <c r="G33" s="10">
        <f>IF(E33="","",E33-TODAY())</f>
        <v/>
      </c>
      <c r="H33" s="10">
        <f>IF(OR(E33="",Overview!$B$3=""),"",Overview!$B$3-E33)</f>
        <v/>
      </c>
      <c r="I33" s="10">
        <f>IF(AND(E33&lt;&gt;"",E33&lt;TODAY(),F33="Pending"),"Overdue","")</f>
        <v/>
      </c>
    </row>
    <row r="34">
      <c r="A34" s="10">
        <f>IF('Vendor Payments'!A32="","",'Vendor Payments'!A32)</f>
        <v/>
      </c>
      <c r="B34" s="10">
        <f>IF('Vendor Payments'!B32="","",'Vendor Payments'!B32)</f>
        <v/>
      </c>
      <c r="C34" s="10">
        <f>IF('Vendor Payments'!C32="","",'Vendor Payments'!C32)</f>
        <v/>
      </c>
      <c r="D34" s="12">
        <f>IF('Vendor Payments'!D32="","",'Vendor Payments'!D32)</f>
        <v/>
      </c>
      <c r="E34" s="21">
        <f>IF('Vendor Payments'!E32="","",'Vendor Payments'!E32)</f>
        <v/>
      </c>
      <c r="F34" s="10">
        <f>IF('Vendor Payments'!F32="","",'Vendor Payments'!F32)</f>
        <v/>
      </c>
      <c r="G34" s="10">
        <f>IF(E34="","",E34-TODAY())</f>
        <v/>
      </c>
      <c r="H34" s="10">
        <f>IF(OR(E34="",Overview!$B$3=""),"",Overview!$B$3-E34)</f>
        <v/>
      </c>
      <c r="I34" s="10">
        <f>IF(AND(E34&lt;&gt;"",E34&lt;TODAY(),F34="Pending"),"Overdue","")</f>
        <v/>
      </c>
    </row>
    <row r="35">
      <c r="A35" s="10">
        <f>IF('Vendor Payments'!A33="","",'Vendor Payments'!A33)</f>
        <v/>
      </c>
      <c r="B35" s="10">
        <f>IF('Vendor Payments'!B33="","",'Vendor Payments'!B33)</f>
        <v/>
      </c>
      <c r="C35" s="10">
        <f>IF('Vendor Payments'!C33="","",'Vendor Payments'!C33)</f>
        <v/>
      </c>
      <c r="D35" s="12">
        <f>IF('Vendor Payments'!D33="","",'Vendor Payments'!D33)</f>
        <v/>
      </c>
      <c r="E35" s="21">
        <f>IF('Vendor Payments'!E33="","",'Vendor Payments'!E33)</f>
        <v/>
      </c>
      <c r="F35" s="10">
        <f>IF('Vendor Payments'!F33="","",'Vendor Payments'!F33)</f>
        <v/>
      </c>
      <c r="G35" s="10">
        <f>IF(E35="","",E35-TODAY())</f>
        <v/>
      </c>
      <c r="H35" s="10">
        <f>IF(OR(E35="",Overview!$B$3=""),"",Overview!$B$3-E35)</f>
        <v/>
      </c>
      <c r="I35" s="10">
        <f>IF(AND(E35&lt;&gt;"",E35&lt;TODAY(),F35="Pending"),"Overdue","")</f>
        <v/>
      </c>
    </row>
    <row r="36">
      <c r="A36" s="10">
        <f>IF('Vendor Payments'!A34="","",'Vendor Payments'!A34)</f>
        <v/>
      </c>
      <c r="B36" s="10">
        <f>IF('Vendor Payments'!B34="","",'Vendor Payments'!B34)</f>
        <v/>
      </c>
      <c r="C36" s="10">
        <f>IF('Vendor Payments'!C34="","",'Vendor Payments'!C34)</f>
        <v/>
      </c>
      <c r="D36" s="12">
        <f>IF('Vendor Payments'!D34="","",'Vendor Payments'!D34)</f>
        <v/>
      </c>
      <c r="E36" s="21">
        <f>IF('Vendor Payments'!E34="","",'Vendor Payments'!E34)</f>
        <v/>
      </c>
      <c r="F36" s="10">
        <f>IF('Vendor Payments'!F34="","",'Vendor Payments'!F34)</f>
        <v/>
      </c>
      <c r="G36" s="10">
        <f>IF(E36="","",E36-TODAY())</f>
        <v/>
      </c>
      <c r="H36" s="10">
        <f>IF(OR(E36="",Overview!$B$3=""),"",Overview!$B$3-E36)</f>
        <v/>
      </c>
      <c r="I36" s="10">
        <f>IF(AND(E36&lt;&gt;"",E36&lt;TODAY(),F36="Pending"),"Overdue","")</f>
        <v/>
      </c>
    </row>
    <row r="37">
      <c r="A37" s="10">
        <f>IF('Vendor Payments'!A35="","",'Vendor Payments'!A35)</f>
        <v/>
      </c>
      <c r="B37" s="10">
        <f>IF('Vendor Payments'!B35="","",'Vendor Payments'!B35)</f>
        <v/>
      </c>
      <c r="C37" s="10">
        <f>IF('Vendor Payments'!C35="","",'Vendor Payments'!C35)</f>
        <v/>
      </c>
      <c r="D37" s="12">
        <f>IF('Vendor Payments'!D35="","",'Vendor Payments'!D35)</f>
        <v/>
      </c>
      <c r="E37" s="21">
        <f>IF('Vendor Payments'!E35="","",'Vendor Payments'!E35)</f>
        <v/>
      </c>
      <c r="F37" s="10">
        <f>IF('Vendor Payments'!F35="","",'Vendor Payments'!F35)</f>
        <v/>
      </c>
      <c r="G37" s="10">
        <f>IF(E37="","",E37-TODAY())</f>
        <v/>
      </c>
      <c r="H37" s="10">
        <f>IF(OR(E37="",Overview!$B$3=""),"",Overview!$B$3-E37)</f>
        <v/>
      </c>
      <c r="I37" s="10">
        <f>IF(AND(E37&lt;&gt;"",E37&lt;TODAY(),F37="Pending"),"Overdue","")</f>
        <v/>
      </c>
    </row>
    <row r="38">
      <c r="A38" s="10">
        <f>IF('Vendor Payments'!A36="","",'Vendor Payments'!A36)</f>
        <v/>
      </c>
      <c r="B38" s="10">
        <f>IF('Vendor Payments'!B36="","",'Vendor Payments'!B36)</f>
        <v/>
      </c>
      <c r="C38" s="10">
        <f>IF('Vendor Payments'!C36="","",'Vendor Payments'!C36)</f>
        <v/>
      </c>
      <c r="D38" s="12">
        <f>IF('Vendor Payments'!D36="","",'Vendor Payments'!D36)</f>
        <v/>
      </c>
      <c r="E38" s="21">
        <f>IF('Vendor Payments'!E36="","",'Vendor Payments'!E36)</f>
        <v/>
      </c>
      <c r="F38" s="10">
        <f>IF('Vendor Payments'!F36="","",'Vendor Payments'!F36)</f>
        <v/>
      </c>
      <c r="G38" s="10">
        <f>IF(E38="","",E38-TODAY())</f>
        <v/>
      </c>
      <c r="H38" s="10">
        <f>IF(OR(E38="",Overview!$B$3=""),"",Overview!$B$3-E38)</f>
        <v/>
      </c>
      <c r="I38" s="10">
        <f>IF(AND(E38&lt;&gt;"",E38&lt;TODAY(),F38="Pending"),"Overdue","")</f>
        <v/>
      </c>
    </row>
    <row r="39">
      <c r="A39" s="10">
        <f>IF('Vendor Payments'!A37="","",'Vendor Payments'!A37)</f>
        <v/>
      </c>
      <c r="B39" s="10">
        <f>IF('Vendor Payments'!B37="","",'Vendor Payments'!B37)</f>
        <v/>
      </c>
      <c r="C39" s="10">
        <f>IF('Vendor Payments'!C37="","",'Vendor Payments'!C37)</f>
        <v/>
      </c>
      <c r="D39" s="12">
        <f>IF('Vendor Payments'!D37="","",'Vendor Payments'!D37)</f>
        <v/>
      </c>
      <c r="E39" s="21">
        <f>IF('Vendor Payments'!E37="","",'Vendor Payments'!E37)</f>
        <v/>
      </c>
      <c r="F39" s="10">
        <f>IF('Vendor Payments'!F37="","",'Vendor Payments'!F37)</f>
        <v/>
      </c>
      <c r="G39" s="10">
        <f>IF(E39="","",E39-TODAY())</f>
        <v/>
      </c>
      <c r="H39" s="10">
        <f>IF(OR(E39="",Overview!$B$3=""),"",Overview!$B$3-E39)</f>
        <v/>
      </c>
      <c r="I39" s="10">
        <f>IF(AND(E39&lt;&gt;"",E39&lt;TODAY(),F39="Pending"),"Overdue","")</f>
        <v/>
      </c>
    </row>
    <row r="40">
      <c r="A40" s="10">
        <f>IF('Vendor Payments'!A38="","",'Vendor Payments'!A38)</f>
        <v/>
      </c>
      <c r="B40" s="10">
        <f>IF('Vendor Payments'!B38="","",'Vendor Payments'!B38)</f>
        <v/>
      </c>
      <c r="C40" s="10">
        <f>IF('Vendor Payments'!C38="","",'Vendor Payments'!C38)</f>
        <v/>
      </c>
      <c r="D40" s="12">
        <f>IF('Vendor Payments'!D38="","",'Vendor Payments'!D38)</f>
        <v/>
      </c>
      <c r="E40" s="21">
        <f>IF('Vendor Payments'!E38="","",'Vendor Payments'!E38)</f>
        <v/>
      </c>
      <c r="F40" s="10">
        <f>IF('Vendor Payments'!F38="","",'Vendor Payments'!F38)</f>
        <v/>
      </c>
      <c r="G40" s="10">
        <f>IF(E40="","",E40-TODAY())</f>
        <v/>
      </c>
      <c r="H40" s="10">
        <f>IF(OR(E40="",Overview!$B$3=""),"",Overview!$B$3-E40)</f>
        <v/>
      </c>
      <c r="I40" s="10">
        <f>IF(AND(E40&lt;&gt;"",E40&lt;TODAY(),F40="Pending"),"Overdue","")</f>
        <v/>
      </c>
    </row>
    <row r="41">
      <c r="A41" s="10">
        <f>IF('Vendor Payments'!A39="","",'Vendor Payments'!A39)</f>
        <v/>
      </c>
      <c r="B41" s="10">
        <f>IF('Vendor Payments'!B39="","",'Vendor Payments'!B39)</f>
        <v/>
      </c>
      <c r="C41" s="10">
        <f>IF('Vendor Payments'!C39="","",'Vendor Payments'!C39)</f>
        <v/>
      </c>
      <c r="D41" s="12">
        <f>IF('Vendor Payments'!D39="","",'Vendor Payments'!D39)</f>
        <v/>
      </c>
      <c r="E41" s="21">
        <f>IF('Vendor Payments'!E39="","",'Vendor Payments'!E39)</f>
        <v/>
      </c>
      <c r="F41" s="10">
        <f>IF('Vendor Payments'!F39="","",'Vendor Payments'!F39)</f>
        <v/>
      </c>
      <c r="G41" s="10">
        <f>IF(E41="","",E41-TODAY())</f>
        <v/>
      </c>
      <c r="H41" s="10">
        <f>IF(OR(E41="",Overview!$B$3=""),"",Overview!$B$3-E41)</f>
        <v/>
      </c>
      <c r="I41" s="10">
        <f>IF(AND(E41&lt;&gt;"",E41&lt;TODAY(),F41="Pending"),"Overdue","")</f>
        <v/>
      </c>
    </row>
    <row r="42">
      <c r="A42" s="10">
        <f>IF('Vendor Payments'!A40="","",'Vendor Payments'!A40)</f>
        <v/>
      </c>
      <c r="B42" s="10">
        <f>IF('Vendor Payments'!B40="","",'Vendor Payments'!B40)</f>
        <v/>
      </c>
      <c r="C42" s="10">
        <f>IF('Vendor Payments'!C40="","",'Vendor Payments'!C40)</f>
        <v/>
      </c>
      <c r="D42" s="12">
        <f>IF('Vendor Payments'!D40="","",'Vendor Payments'!D40)</f>
        <v/>
      </c>
      <c r="E42" s="21">
        <f>IF('Vendor Payments'!E40="","",'Vendor Payments'!E40)</f>
        <v/>
      </c>
      <c r="F42" s="10">
        <f>IF('Vendor Payments'!F40="","",'Vendor Payments'!F40)</f>
        <v/>
      </c>
      <c r="G42" s="10">
        <f>IF(E42="","",E42-TODAY())</f>
        <v/>
      </c>
      <c r="H42" s="10">
        <f>IF(OR(E42="",Overview!$B$3=""),"",Overview!$B$3-E42)</f>
        <v/>
      </c>
      <c r="I42" s="10">
        <f>IF(AND(E42&lt;&gt;"",E42&lt;TODAY(),F42="Pending"),"Overdue","")</f>
        <v/>
      </c>
    </row>
    <row r="43">
      <c r="A43" s="10">
        <f>IF('Vendor Payments'!A41="","",'Vendor Payments'!A41)</f>
        <v/>
      </c>
      <c r="B43" s="10">
        <f>IF('Vendor Payments'!B41="","",'Vendor Payments'!B41)</f>
        <v/>
      </c>
      <c r="C43" s="10">
        <f>IF('Vendor Payments'!C41="","",'Vendor Payments'!C41)</f>
        <v/>
      </c>
      <c r="D43" s="12">
        <f>IF('Vendor Payments'!D41="","",'Vendor Payments'!D41)</f>
        <v/>
      </c>
      <c r="E43" s="21">
        <f>IF('Vendor Payments'!E41="","",'Vendor Payments'!E41)</f>
        <v/>
      </c>
      <c r="F43" s="10">
        <f>IF('Vendor Payments'!F41="","",'Vendor Payments'!F41)</f>
        <v/>
      </c>
      <c r="G43" s="10">
        <f>IF(E43="","",E43-TODAY())</f>
        <v/>
      </c>
      <c r="H43" s="10">
        <f>IF(OR(E43="",Overview!$B$3=""),"",Overview!$B$3-E43)</f>
        <v/>
      </c>
      <c r="I43" s="10">
        <f>IF(AND(E43&lt;&gt;"",E43&lt;TODAY(),F43="Pending"),"Overdue","")</f>
        <v/>
      </c>
    </row>
    <row r="44">
      <c r="A44" s="10">
        <f>IF('Vendor Payments'!A42="","",'Vendor Payments'!A42)</f>
        <v/>
      </c>
      <c r="B44" s="10">
        <f>IF('Vendor Payments'!B42="","",'Vendor Payments'!B42)</f>
        <v/>
      </c>
      <c r="C44" s="10">
        <f>IF('Vendor Payments'!C42="","",'Vendor Payments'!C42)</f>
        <v/>
      </c>
      <c r="D44" s="12">
        <f>IF('Vendor Payments'!D42="","",'Vendor Payments'!D42)</f>
        <v/>
      </c>
      <c r="E44" s="21">
        <f>IF('Vendor Payments'!E42="","",'Vendor Payments'!E42)</f>
        <v/>
      </c>
      <c r="F44" s="10">
        <f>IF('Vendor Payments'!F42="","",'Vendor Payments'!F42)</f>
        <v/>
      </c>
      <c r="G44" s="10">
        <f>IF(E44="","",E44-TODAY())</f>
        <v/>
      </c>
      <c r="H44" s="10">
        <f>IF(OR(E44="",Overview!$B$3=""),"",Overview!$B$3-E44)</f>
        <v/>
      </c>
      <c r="I44" s="10">
        <f>IF(AND(E44&lt;&gt;"",E44&lt;TODAY(),F44="Pending"),"Overdue","")</f>
        <v/>
      </c>
    </row>
    <row r="45">
      <c r="A45" s="10">
        <f>IF('Vendor Payments'!A43="","",'Vendor Payments'!A43)</f>
        <v/>
      </c>
      <c r="B45" s="10">
        <f>IF('Vendor Payments'!B43="","",'Vendor Payments'!B43)</f>
        <v/>
      </c>
      <c r="C45" s="10">
        <f>IF('Vendor Payments'!C43="","",'Vendor Payments'!C43)</f>
        <v/>
      </c>
      <c r="D45" s="12">
        <f>IF('Vendor Payments'!D43="","",'Vendor Payments'!D43)</f>
        <v/>
      </c>
      <c r="E45" s="21">
        <f>IF('Vendor Payments'!E43="","",'Vendor Payments'!E43)</f>
        <v/>
      </c>
      <c r="F45" s="10">
        <f>IF('Vendor Payments'!F43="","",'Vendor Payments'!F43)</f>
        <v/>
      </c>
      <c r="G45" s="10">
        <f>IF(E45="","",E45-TODAY())</f>
        <v/>
      </c>
      <c r="H45" s="10">
        <f>IF(OR(E45="",Overview!$B$3=""),"",Overview!$B$3-E45)</f>
        <v/>
      </c>
      <c r="I45" s="10">
        <f>IF(AND(E45&lt;&gt;"",E45&lt;TODAY(),F45="Pending"),"Overdue","")</f>
        <v/>
      </c>
    </row>
    <row r="46">
      <c r="A46" s="10">
        <f>IF('Vendor Payments'!A44="","",'Vendor Payments'!A44)</f>
        <v/>
      </c>
      <c r="B46" s="10">
        <f>IF('Vendor Payments'!B44="","",'Vendor Payments'!B44)</f>
        <v/>
      </c>
      <c r="C46" s="10">
        <f>IF('Vendor Payments'!C44="","",'Vendor Payments'!C44)</f>
        <v/>
      </c>
      <c r="D46" s="12">
        <f>IF('Vendor Payments'!D44="","",'Vendor Payments'!D44)</f>
        <v/>
      </c>
      <c r="E46" s="21">
        <f>IF('Vendor Payments'!E44="","",'Vendor Payments'!E44)</f>
        <v/>
      </c>
      <c r="F46" s="10">
        <f>IF('Vendor Payments'!F44="","",'Vendor Payments'!F44)</f>
        <v/>
      </c>
      <c r="G46" s="10">
        <f>IF(E46="","",E46-TODAY())</f>
        <v/>
      </c>
      <c r="H46" s="10">
        <f>IF(OR(E46="",Overview!$B$3=""),"",Overview!$B$3-E46)</f>
        <v/>
      </c>
      <c r="I46" s="10">
        <f>IF(AND(E46&lt;&gt;"",E46&lt;TODAY(),F46="Pending"),"Overdue","")</f>
        <v/>
      </c>
    </row>
    <row r="47">
      <c r="A47" s="10">
        <f>IF('Vendor Payments'!A45="","",'Vendor Payments'!A45)</f>
        <v/>
      </c>
      <c r="B47" s="10">
        <f>IF('Vendor Payments'!B45="","",'Vendor Payments'!B45)</f>
        <v/>
      </c>
      <c r="C47" s="10">
        <f>IF('Vendor Payments'!C45="","",'Vendor Payments'!C45)</f>
        <v/>
      </c>
      <c r="D47" s="12">
        <f>IF('Vendor Payments'!D45="","",'Vendor Payments'!D45)</f>
        <v/>
      </c>
      <c r="E47" s="21">
        <f>IF('Vendor Payments'!E45="","",'Vendor Payments'!E45)</f>
        <v/>
      </c>
      <c r="F47" s="10">
        <f>IF('Vendor Payments'!F45="","",'Vendor Payments'!F45)</f>
        <v/>
      </c>
      <c r="G47" s="10">
        <f>IF(E47="","",E47-TODAY())</f>
        <v/>
      </c>
      <c r="H47" s="10">
        <f>IF(OR(E47="",Overview!$B$3=""),"",Overview!$B$3-E47)</f>
        <v/>
      </c>
      <c r="I47" s="10">
        <f>IF(AND(E47&lt;&gt;"",E47&lt;TODAY(),F47="Pending"),"Overdue","")</f>
        <v/>
      </c>
    </row>
    <row r="48">
      <c r="A48" s="10">
        <f>IF('Vendor Payments'!A46="","",'Vendor Payments'!A46)</f>
        <v/>
      </c>
      <c r="B48" s="10">
        <f>IF('Vendor Payments'!B46="","",'Vendor Payments'!B46)</f>
        <v/>
      </c>
      <c r="C48" s="10">
        <f>IF('Vendor Payments'!C46="","",'Vendor Payments'!C46)</f>
        <v/>
      </c>
      <c r="D48" s="12">
        <f>IF('Vendor Payments'!D46="","",'Vendor Payments'!D46)</f>
        <v/>
      </c>
      <c r="E48" s="21">
        <f>IF('Vendor Payments'!E46="","",'Vendor Payments'!E46)</f>
        <v/>
      </c>
      <c r="F48" s="10">
        <f>IF('Vendor Payments'!F46="","",'Vendor Payments'!F46)</f>
        <v/>
      </c>
      <c r="G48" s="10">
        <f>IF(E48="","",E48-TODAY())</f>
        <v/>
      </c>
      <c r="H48" s="10">
        <f>IF(OR(E48="",Overview!$B$3=""),"",Overview!$B$3-E48)</f>
        <v/>
      </c>
      <c r="I48" s="10">
        <f>IF(AND(E48&lt;&gt;"",E48&lt;TODAY(),F48="Pending"),"Overdue","")</f>
        <v/>
      </c>
    </row>
    <row r="49">
      <c r="A49" s="10">
        <f>IF('Vendor Payments'!A47="","",'Vendor Payments'!A47)</f>
        <v/>
      </c>
      <c r="B49" s="10">
        <f>IF('Vendor Payments'!B47="","",'Vendor Payments'!B47)</f>
        <v/>
      </c>
      <c r="C49" s="10">
        <f>IF('Vendor Payments'!C47="","",'Vendor Payments'!C47)</f>
        <v/>
      </c>
      <c r="D49" s="12">
        <f>IF('Vendor Payments'!D47="","",'Vendor Payments'!D47)</f>
        <v/>
      </c>
      <c r="E49" s="21">
        <f>IF('Vendor Payments'!E47="","",'Vendor Payments'!E47)</f>
        <v/>
      </c>
      <c r="F49" s="10">
        <f>IF('Vendor Payments'!F47="","",'Vendor Payments'!F47)</f>
        <v/>
      </c>
      <c r="G49" s="10">
        <f>IF(E49="","",E49-TODAY())</f>
        <v/>
      </c>
      <c r="H49" s="10">
        <f>IF(OR(E49="",Overview!$B$3=""),"",Overview!$B$3-E49)</f>
        <v/>
      </c>
      <c r="I49" s="10">
        <f>IF(AND(E49&lt;&gt;"",E49&lt;TODAY(),F49="Pending"),"Overdue","")</f>
        <v/>
      </c>
    </row>
    <row r="50">
      <c r="A50" s="10">
        <f>IF('Vendor Payments'!A48="","",'Vendor Payments'!A48)</f>
        <v/>
      </c>
      <c r="B50" s="10">
        <f>IF('Vendor Payments'!B48="","",'Vendor Payments'!B48)</f>
        <v/>
      </c>
      <c r="C50" s="10">
        <f>IF('Vendor Payments'!C48="","",'Vendor Payments'!C48)</f>
        <v/>
      </c>
      <c r="D50" s="12">
        <f>IF('Vendor Payments'!D48="","",'Vendor Payments'!D48)</f>
        <v/>
      </c>
      <c r="E50" s="21">
        <f>IF('Vendor Payments'!E48="","",'Vendor Payments'!E48)</f>
        <v/>
      </c>
      <c r="F50" s="10">
        <f>IF('Vendor Payments'!F48="","",'Vendor Payments'!F48)</f>
        <v/>
      </c>
      <c r="G50" s="10">
        <f>IF(E50="","",E50-TODAY())</f>
        <v/>
      </c>
      <c r="H50" s="10">
        <f>IF(OR(E50="",Overview!$B$3=""),"",Overview!$B$3-E50)</f>
        <v/>
      </c>
      <c r="I50" s="10">
        <f>IF(AND(E50&lt;&gt;"",E50&lt;TODAY(),F50="Pending"),"Overdue","")</f>
        <v/>
      </c>
    </row>
    <row r="51">
      <c r="A51" s="10">
        <f>IF('Vendor Payments'!A49="","",'Vendor Payments'!A49)</f>
        <v/>
      </c>
      <c r="B51" s="10">
        <f>IF('Vendor Payments'!B49="","",'Vendor Payments'!B49)</f>
        <v/>
      </c>
      <c r="C51" s="10">
        <f>IF('Vendor Payments'!C49="","",'Vendor Payments'!C49)</f>
        <v/>
      </c>
      <c r="D51" s="12">
        <f>IF('Vendor Payments'!D49="","",'Vendor Payments'!D49)</f>
        <v/>
      </c>
      <c r="E51" s="21">
        <f>IF('Vendor Payments'!E49="","",'Vendor Payments'!E49)</f>
        <v/>
      </c>
      <c r="F51" s="10">
        <f>IF('Vendor Payments'!F49="","",'Vendor Payments'!F49)</f>
        <v/>
      </c>
      <c r="G51" s="10">
        <f>IF(E51="","",E51-TODAY())</f>
        <v/>
      </c>
      <c r="H51" s="10">
        <f>IF(OR(E51="",Overview!$B$3=""),"",Overview!$B$3-E51)</f>
        <v/>
      </c>
      <c r="I51" s="10">
        <f>IF(AND(E51&lt;&gt;"",E51&lt;TODAY(),F51="Pending"),"Overdue","")</f>
        <v/>
      </c>
    </row>
    <row r="52">
      <c r="A52" s="10">
        <f>IF('Vendor Payments'!A50="","",'Vendor Payments'!A50)</f>
        <v/>
      </c>
      <c r="B52" s="10">
        <f>IF('Vendor Payments'!B50="","",'Vendor Payments'!B50)</f>
        <v/>
      </c>
      <c r="C52" s="10">
        <f>IF('Vendor Payments'!C50="","",'Vendor Payments'!C50)</f>
        <v/>
      </c>
      <c r="D52" s="12">
        <f>IF('Vendor Payments'!D50="","",'Vendor Payments'!D50)</f>
        <v/>
      </c>
      <c r="E52" s="21">
        <f>IF('Vendor Payments'!E50="","",'Vendor Payments'!E50)</f>
        <v/>
      </c>
      <c r="F52" s="10">
        <f>IF('Vendor Payments'!F50="","",'Vendor Payments'!F50)</f>
        <v/>
      </c>
      <c r="G52" s="10">
        <f>IF(E52="","",E52-TODAY())</f>
        <v/>
      </c>
      <c r="H52" s="10">
        <f>IF(OR(E52="",Overview!$B$3=""),"",Overview!$B$3-E52)</f>
        <v/>
      </c>
      <c r="I52" s="10">
        <f>IF(AND(E52&lt;&gt;"",E52&lt;TODAY(),F52="Pending"),"Overdue","")</f>
        <v/>
      </c>
    </row>
    <row r="53">
      <c r="A53" s="10">
        <f>IF('Vendor Payments'!A51="","",'Vendor Payments'!A51)</f>
        <v/>
      </c>
      <c r="B53" s="10">
        <f>IF('Vendor Payments'!B51="","",'Vendor Payments'!B51)</f>
        <v/>
      </c>
      <c r="C53" s="10">
        <f>IF('Vendor Payments'!C51="","",'Vendor Payments'!C51)</f>
        <v/>
      </c>
      <c r="D53" s="12">
        <f>IF('Vendor Payments'!D51="","",'Vendor Payments'!D51)</f>
        <v/>
      </c>
      <c r="E53" s="21">
        <f>IF('Vendor Payments'!E51="","",'Vendor Payments'!E51)</f>
        <v/>
      </c>
      <c r="F53" s="10">
        <f>IF('Vendor Payments'!F51="","",'Vendor Payments'!F51)</f>
        <v/>
      </c>
      <c r="G53" s="10">
        <f>IF(E53="","",E53-TODAY())</f>
        <v/>
      </c>
      <c r="H53" s="10">
        <f>IF(OR(E53="",Overview!$B$3=""),"",Overview!$B$3-E53)</f>
        <v/>
      </c>
      <c r="I53" s="10">
        <f>IF(AND(E53&lt;&gt;"",E53&lt;TODAY(),F53="Pending"),"Overdue","")</f>
        <v/>
      </c>
    </row>
    <row r="54">
      <c r="A54" s="10">
        <f>IF('Vendor Payments'!A52="","",'Vendor Payments'!A52)</f>
        <v/>
      </c>
      <c r="B54" s="10">
        <f>IF('Vendor Payments'!B52="","",'Vendor Payments'!B52)</f>
        <v/>
      </c>
      <c r="C54" s="10">
        <f>IF('Vendor Payments'!C52="","",'Vendor Payments'!C52)</f>
        <v/>
      </c>
      <c r="D54" s="12">
        <f>IF('Vendor Payments'!D52="","",'Vendor Payments'!D52)</f>
        <v/>
      </c>
      <c r="E54" s="21">
        <f>IF('Vendor Payments'!E52="","",'Vendor Payments'!E52)</f>
        <v/>
      </c>
      <c r="F54" s="10">
        <f>IF('Vendor Payments'!F52="","",'Vendor Payments'!F52)</f>
        <v/>
      </c>
      <c r="G54" s="10">
        <f>IF(E54="","",E54-TODAY())</f>
        <v/>
      </c>
      <c r="H54" s="10">
        <f>IF(OR(E54="",Overview!$B$3=""),"",Overview!$B$3-E54)</f>
        <v/>
      </c>
      <c r="I54" s="10">
        <f>IF(AND(E54&lt;&gt;"",E54&lt;TODAY(),F54="Pending"),"Overdue","")</f>
        <v/>
      </c>
    </row>
    <row r="55">
      <c r="A55" s="10">
        <f>IF('Vendor Payments'!A53="","",'Vendor Payments'!A53)</f>
        <v/>
      </c>
      <c r="B55" s="10">
        <f>IF('Vendor Payments'!B53="","",'Vendor Payments'!B53)</f>
        <v/>
      </c>
      <c r="C55" s="10">
        <f>IF('Vendor Payments'!C53="","",'Vendor Payments'!C53)</f>
        <v/>
      </c>
      <c r="D55" s="12">
        <f>IF('Vendor Payments'!D53="","",'Vendor Payments'!D53)</f>
        <v/>
      </c>
      <c r="E55" s="21">
        <f>IF('Vendor Payments'!E53="","",'Vendor Payments'!E53)</f>
        <v/>
      </c>
      <c r="F55" s="10">
        <f>IF('Vendor Payments'!F53="","",'Vendor Payments'!F53)</f>
        <v/>
      </c>
      <c r="G55" s="10">
        <f>IF(E55="","",E55-TODAY())</f>
        <v/>
      </c>
      <c r="H55" s="10">
        <f>IF(OR(E55="",Overview!$B$3=""),"",Overview!$B$3-E55)</f>
        <v/>
      </c>
      <c r="I55" s="10">
        <f>IF(AND(E55&lt;&gt;"",E55&lt;TODAY(),F55="Pending"),"Overdue","")</f>
        <v/>
      </c>
    </row>
    <row r="56">
      <c r="A56" s="10">
        <f>IF('Vendor Payments'!A54="","",'Vendor Payments'!A54)</f>
        <v/>
      </c>
      <c r="B56" s="10">
        <f>IF('Vendor Payments'!B54="","",'Vendor Payments'!B54)</f>
        <v/>
      </c>
      <c r="C56" s="10">
        <f>IF('Vendor Payments'!C54="","",'Vendor Payments'!C54)</f>
        <v/>
      </c>
      <c r="D56" s="12">
        <f>IF('Vendor Payments'!D54="","",'Vendor Payments'!D54)</f>
        <v/>
      </c>
      <c r="E56" s="21">
        <f>IF('Vendor Payments'!E54="","",'Vendor Payments'!E54)</f>
        <v/>
      </c>
      <c r="F56" s="10">
        <f>IF('Vendor Payments'!F54="","",'Vendor Payments'!F54)</f>
        <v/>
      </c>
      <c r="G56" s="10">
        <f>IF(E56="","",E56-TODAY())</f>
        <v/>
      </c>
      <c r="H56" s="10">
        <f>IF(OR(E56="",Overview!$B$3=""),"",Overview!$B$3-E56)</f>
        <v/>
      </c>
      <c r="I56" s="10">
        <f>IF(AND(E56&lt;&gt;"",E56&lt;TODAY(),F56="Pending"),"Overdue","")</f>
        <v/>
      </c>
    </row>
    <row r="57">
      <c r="A57" s="10">
        <f>IF('Vendor Payments'!A55="","",'Vendor Payments'!A55)</f>
        <v/>
      </c>
      <c r="B57" s="10">
        <f>IF('Vendor Payments'!B55="","",'Vendor Payments'!B55)</f>
        <v/>
      </c>
      <c r="C57" s="10">
        <f>IF('Vendor Payments'!C55="","",'Vendor Payments'!C55)</f>
        <v/>
      </c>
      <c r="D57" s="12">
        <f>IF('Vendor Payments'!D55="","",'Vendor Payments'!D55)</f>
        <v/>
      </c>
      <c r="E57" s="21">
        <f>IF('Vendor Payments'!E55="","",'Vendor Payments'!E55)</f>
        <v/>
      </c>
      <c r="F57" s="10">
        <f>IF('Vendor Payments'!F55="","",'Vendor Payments'!F55)</f>
        <v/>
      </c>
      <c r="G57" s="10">
        <f>IF(E57="","",E57-TODAY())</f>
        <v/>
      </c>
      <c r="H57" s="10">
        <f>IF(OR(E57="",Overview!$B$3=""),"",Overview!$B$3-E57)</f>
        <v/>
      </c>
      <c r="I57" s="10">
        <f>IF(AND(E57&lt;&gt;"",E57&lt;TODAY(),F57="Pending"),"Overdue","")</f>
        <v/>
      </c>
    </row>
    <row r="58">
      <c r="A58" s="10">
        <f>IF('Vendor Payments'!A56="","",'Vendor Payments'!A56)</f>
        <v/>
      </c>
      <c r="B58" s="10">
        <f>IF('Vendor Payments'!B56="","",'Vendor Payments'!B56)</f>
        <v/>
      </c>
      <c r="C58" s="10">
        <f>IF('Vendor Payments'!C56="","",'Vendor Payments'!C56)</f>
        <v/>
      </c>
      <c r="D58" s="12">
        <f>IF('Vendor Payments'!D56="","",'Vendor Payments'!D56)</f>
        <v/>
      </c>
      <c r="E58" s="21">
        <f>IF('Vendor Payments'!E56="","",'Vendor Payments'!E56)</f>
        <v/>
      </c>
      <c r="F58" s="10">
        <f>IF('Vendor Payments'!F56="","",'Vendor Payments'!F56)</f>
        <v/>
      </c>
      <c r="G58" s="10">
        <f>IF(E58="","",E58-TODAY())</f>
        <v/>
      </c>
      <c r="H58" s="10">
        <f>IF(OR(E58="",Overview!$B$3=""),"",Overview!$B$3-E58)</f>
        <v/>
      </c>
      <c r="I58" s="10">
        <f>IF(AND(E58&lt;&gt;"",E58&lt;TODAY(),F58="Pending"),"Overdue","")</f>
        <v/>
      </c>
    </row>
    <row r="59">
      <c r="A59" s="10">
        <f>IF('Vendor Payments'!A57="","",'Vendor Payments'!A57)</f>
        <v/>
      </c>
      <c r="B59" s="10">
        <f>IF('Vendor Payments'!B57="","",'Vendor Payments'!B57)</f>
        <v/>
      </c>
      <c r="C59" s="10">
        <f>IF('Vendor Payments'!C57="","",'Vendor Payments'!C57)</f>
        <v/>
      </c>
      <c r="D59" s="12">
        <f>IF('Vendor Payments'!D57="","",'Vendor Payments'!D57)</f>
        <v/>
      </c>
      <c r="E59" s="21">
        <f>IF('Vendor Payments'!E57="","",'Vendor Payments'!E57)</f>
        <v/>
      </c>
      <c r="F59" s="10">
        <f>IF('Vendor Payments'!F57="","",'Vendor Payments'!F57)</f>
        <v/>
      </c>
      <c r="G59" s="10">
        <f>IF(E59="","",E59-TODAY())</f>
        <v/>
      </c>
      <c r="H59" s="10">
        <f>IF(OR(E59="",Overview!$B$3=""),"",Overview!$B$3-E59)</f>
        <v/>
      </c>
      <c r="I59" s="10">
        <f>IF(AND(E59&lt;&gt;"",E59&lt;TODAY(),F59="Pending"),"Overdue","")</f>
        <v/>
      </c>
    </row>
    <row r="60">
      <c r="A60" s="10">
        <f>IF('Vendor Payments'!A58="","",'Vendor Payments'!A58)</f>
        <v/>
      </c>
      <c r="B60" s="10">
        <f>IF('Vendor Payments'!B58="","",'Vendor Payments'!B58)</f>
        <v/>
      </c>
      <c r="C60" s="10">
        <f>IF('Vendor Payments'!C58="","",'Vendor Payments'!C58)</f>
        <v/>
      </c>
      <c r="D60" s="12">
        <f>IF('Vendor Payments'!D58="","",'Vendor Payments'!D58)</f>
        <v/>
      </c>
      <c r="E60" s="21">
        <f>IF('Vendor Payments'!E58="","",'Vendor Payments'!E58)</f>
        <v/>
      </c>
      <c r="F60" s="10">
        <f>IF('Vendor Payments'!F58="","",'Vendor Payments'!F58)</f>
        <v/>
      </c>
      <c r="G60" s="10">
        <f>IF(E60="","",E60-TODAY())</f>
        <v/>
      </c>
      <c r="H60" s="10">
        <f>IF(OR(E60="",Overview!$B$3=""),"",Overview!$B$3-E60)</f>
        <v/>
      </c>
      <c r="I60" s="10">
        <f>IF(AND(E60&lt;&gt;"",E60&lt;TODAY(),F60="Pending"),"Overdue","")</f>
        <v/>
      </c>
    </row>
    <row r="61">
      <c r="A61" s="10">
        <f>IF('Vendor Payments'!A59="","",'Vendor Payments'!A59)</f>
        <v/>
      </c>
      <c r="B61" s="10">
        <f>IF('Vendor Payments'!B59="","",'Vendor Payments'!B59)</f>
        <v/>
      </c>
      <c r="C61" s="10">
        <f>IF('Vendor Payments'!C59="","",'Vendor Payments'!C59)</f>
        <v/>
      </c>
      <c r="D61" s="12">
        <f>IF('Vendor Payments'!D59="","",'Vendor Payments'!D59)</f>
        <v/>
      </c>
      <c r="E61" s="21">
        <f>IF('Vendor Payments'!E59="","",'Vendor Payments'!E59)</f>
        <v/>
      </c>
      <c r="F61" s="10">
        <f>IF('Vendor Payments'!F59="","",'Vendor Payments'!F59)</f>
        <v/>
      </c>
      <c r="G61" s="10">
        <f>IF(E61="","",E61-TODAY())</f>
        <v/>
      </c>
      <c r="H61" s="10">
        <f>IF(OR(E61="",Overview!$B$3=""),"",Overview!$B$3-E61)</f>
        <v/>
      </c>
      <c r="I61" s="10">
        <f>IF(AND(E61&lt;&gt;"",E61&lt;TODAY(),F61="Pending"),"Overdue","")</f>
        <v/>
      </c>
    </row>
    <row r="62">
      <c r="A62" s="10">
        <f>IF('Vendor Payments'!A60="","",'Vendor Payments'!A60)</f>
        <v/>
      </c>
      <c r="B62" s="10">
        <f>IF('Vendor Payments'!B60="","",'Vendor Payments'!B60)</f>
        <v/>
      </c>
      <c r="C62" s="10">
        <f>IF('Vendor Payments'!C60="","",'Vendor Payments'!C60)</f>
        <v/>
      </c>
      <c r="D62" s="12">
        <f>IF('Vendor Payments'!D60="","",'Vendor Payments'!D60)</f>
        <v/>
      </c>
      <c r="E62" s="21">
        <f>IF('Vendor Payments'!E60="","",'Vendor Payments'!E60)</f>
        <v/>
      </c>
      <c r="F62" s="10">
        <f>IF('Vendor Payments'!F60="","",'Vendor Payments'!F60)</f>
        <v/>
      </c>
      <c r="G62" s="10">
        <f>IF(E62="","",E62-TODAY())</f>
        <v/>
      </c>
      <c r="H62" s="10">
        <f>IF(OR(E62="",Overview!$B$3=""),"",Overview!$B$3-E62)</f>
        <v/>
      </c>
      <c r="I62" s="10">
        <f>IF(AND(E62&lt;&gt;"",E62&lt;TODAY(),F62="Pending"),"Overdue","")</f>
        <v/>
      </c>
    </row>
    <row r="63">
      <c r="A63" s="10">
        <f>IF('Vendor Payments'!A61="","",'Vendor Payments'!A61)</f>
        <v/>
      </c>
      <c r="B63" s="10">
        <f>IF('Vendor Payments'!B61="","",'Vendor Payments'!B61)</f>
        <v/>
      </c>
      <c r="C63" s="10">
        <f>IF('Vendor Payments'!C61="","",'Vendor Payments'!C61)</f>
        <v/>
      </c>
      <c r="D63" s="12">
        <f>IF('Vendor Payments'!D61="","",'Vendor Payments'!D61)</f>
        <v/>
      </c>
      <c r="E63" s="21">
        <f>IF('Vendor Payments'!E61="","",'Vendor Payments'!E61)</f>
        <v/>
      </c>
      <c r="F63" s="10">
        <f>IF('Vendor Payments'!F61="","",'Vendor Payments'!F61)</f>
        <v/>
      </c>
      <c r="G63" s="10">
        <f>IF(E63="","",E63-TODAY())</f>
        <v/>
      </c>
      <c r="H63" s="10">
        <f>IF(OR(E63="",Overview!$B$3=""),"",Overview!$B$3-E63)</f>
        <v/>
      </c>
      <c r="I63" s="10">
        <f>IF(AND(E63&lt;&gt;"",E63&lt;TODAY(),F63="Pending"),"Overdue","")</f>
        <v/>
      </c>
    </row>
    <row r="64">
      <c r="A64" s="10">
        <f>IF('Vendor Payments'!A62="","",'Vendor Payments'!A62)</f>
        <v/>
      </c>
      <c r="B64" s="10">
        <f>IF('Vendor Payments'!B62="","",'Vendor Payments'!B62)</f>
        <v/>
      </c>
      <c r="C64" s="10">
        <f>IF('Vendor Payments'!C62="","",'Vendor Payments'!C62)</f>
        <v/>
      </c>
      <c r="D64" s="12">
        <f>IF('Vendor Payments'!D62="","",'Vendor Payments'!D62)</f>
        <v/>
      </c>
      <c r="E64" s="21">
        <f>IF('Vendor Payments'!E62="","",'Vendor Payments'!E62)</f>
        <v/>
      </c>
      <c r="F64" s="10">
        <f>IF('Vendor Payments'!F62="","",'Vendor Payments'!F62)</f>
        <v/>
      </c>
      <c r="G64" s="10">
        <f>IF(E64="","",E64-TODAY())</f>
        <v/>
      </c>
      <c r="H64" s="10">
        <f>IF(OR(E64="",Overview!$B$3=""),"",Overview!$B$3-E64)</f>
        <v/>
      </c>
      <c r="I64" s="10">
        <f>IF(AND(E64&lt;&gt;"",E64&lt;TODAY(),F64="Pending"),"Overdue","")</f>
        <v/>
      </c>
    </row>
    <row r="65">
      <c r="A65" s="10">
        <f>IF('Vendor Payments'!A63="","",'Vendor Payments'!A63)</f>
        <v/>
      </c>
      <c r="B65" s="10">
        <f>IF('Vendor Payments'!B63="","",'Vendor Payments'!B63)</f>
        <v/>
      </c>
      <c r="C65" s="10">
        <f>IF('Vendor Payments'!C63="","",'Vendor Payments'!C63)</f>
        <v/>
      </c>
      <c r="D65" s="12">
        <f>IF('Vendor Payments'!D63="","",'Vendor Payments'!D63)</f>
        <v/>
      </c>
      <c r="E65" s="21">
        <f>IF('Vendor Payments'!E63="","",'Vendor Payments'!E63)</f>
        <v/>
      </c>
      <c r="F65" s="10">
        <f>IF('Vendor Payments'!F63="","",'Vendor Payments'!F63)</f>
        <v/>
      </c>
      <c r="G65" s="10">
        <f>IF(E65="","",E65-TODAY())</f>
        <v/>
      </c>
      <c r="H65" s="10">
        <f>IF(OR(E65="",Overview!$B$3=""),"",Overview!$B$3-E65)</f>
        <v/>
      </c>
      <c r="I65" s="10">
        <f>IF(AND(E65&lt;&gt;"",E65&lt;TODAY(),F65="Pending"),"Overdue","")</f>
        <v/>
      </c>
    </row>
    <row r="66">
      <c r="A66" s="10">
        <f>IF('Vendor Payments'!A64="","",'Vendor Payments'!A64)</f>
        <v/>
      </c>
      <c r="B66" s="10">
        <f>IF('Vendor Payments'!B64="","",'Vendor Payments'!B64)</f>
        <v/>
      </c>
      <c r="C66" s="10">
        <f>IF('Vendor Payments'!C64="","",'Vendor Payments'!C64)</f>
        <v/>
      </c>
      <c r="D66" s="12">
        <f>IF('Vendor Payments'!D64="","",'Vendor Payments'!D64)</f>
        <v/>
      </c>
      <c r="E66" s="21">
        <f>IF('Vendor Payments'!E64="","",'Vendor Payments'!E64)</f>
        <v/>
      </c>
      <c r="F66" s="10">
        <f>IF('Vendor Payments'!F64="","",'Vendor Payments'!F64)</f>
        <v/>
      </c>
      <c r="G66" s="10">
        <f>IF(E66="","",E66-TODAY())</f>
        <v/>
      </c>
      <c r="H66" s="10">
        <f>IF(OR(E66="",Overview!$B$3=""),"",Overview!$B$3-E66)</f>
        <v/>
      </c>
      <c r="I66" s="10">
        <f>IF(AND(E66&lt;&gt;"",E66&lt;TODAY(),F66="Pending"),"Overdue","")</f>
        <v/>
      </c>
    </row>
    <row r="67">
      <c r="A67" s="10">
        <f>IF('Vendor Payments'!A65="","",'Vendor Payments'!A65)</f>
        <v/>
      </c>
      <c r="B67" s="10">
        <f>IF('Vendor Payments'!B65="","",'Vendor Payments'!B65)</f>
        <v/>
      </c>
      <c r="C67" s="10">
        <f>IF('Vendor Payments'!C65="","",'Vendor Payments'!C65)</f>
        <v/>
      </c>
      <c r="D67" s="12">
        <f>IF('Vendor Payments'!D65="","",'Vendor Payments'!D65)</f>
        <v/>
      </c>
      <c r="E67" s="21">
        <f>IF('Vendor Payments'!E65="","",'Vendor Payments'!E65)</f>
        <v/>
      </c>
      <c r="F67" s="10">
        <f>IF('Vendor Payments'!F65="","",'Vendor Payments'!F65)</f>
        <v/>
      </c>
      <c r="G67" s="10">
        <f>IF(E67="","",E67-TODAY())</f>
        <v/>
      </c>
      <c r="H67" s="10">
        <f>IF(OR(E67="",Overview!$B$3=""),"",Overview!$B$3-E67)</f>
        <v/>
      </c>
      <c r="I67" s="10">
        <f>IF(AND(E67&lt;&gt;"",E67&lt;TODAY(),F67="Pending"),"Overdue","")</f>
        <v/>
      </c>
    </row>
    <row r="68">
      <c r="A68" s="10">
        <f>IF('Vendor Payments'!A66="","",'Vendor Payments'!A66)</f>
        <v/>
      </c>
      <c r="B68" s="10">
        <f>IF('Vendor Payments'!B66="","",'Vendor Payments'!B66)</f>
        <v/>
      </c>
      <c r="C68" s="10">
        <f>IF('Vendor Payments'!C66="","",'Vendor Payments'!C66)</f>
        <v/>
      </c>
      <c r="D68" s="12">
        <f>IF('Vendor Payments'!D66="","",'Vendor Payments'!D66)</f>
        <v/>
      </c>
      <c r="E68" s="21">
        <f>IF('Vendor Payments'!E66="","",'Vendor Payments'!E66)</f>
        <v/>
      </c>
      <c r="F68" s="10">
        <f>IF('Vendor Payments'!F66="","",'Vendor Payments'!F66)</f>
        <v/>
      </c>
      <c r="G68" s="10">
        <f>IF(E68="","",E68-TODAY())</f>
        <v/>
      </c>
      <c r="H68" s="10">
        <f>IF(OR(E68="",Overview!$B$3=""),"",Overview!$B$3-E68)</f>
        <v/>
      </c>
      <c r="I68" s="10">
        <f>IF(AND(E68&lt;&gt;"",E68&lt;TODAY(),F68="Pending"),"Overdue","")</f>
        <v/>
      </c>
    </row>
    <row r="69">
      <c r="A69" s="10">
        <f>IF('Vendor Payments'!A67="","",'Vendor Payments'!A67)</f>
        <v/>
      </c>
      <c r="B69" s="10">
        <f>IF('Vendor Payments'!B67="","",'Vendor Payments'!B67)</f>
        <v/>
      </c>
      <c r="C69" s="10">
        <f>IF('Vendor Payments'!C67="","",'Vendor Payments'!C67)</f>
        <v/>
      </c>
      <c r="D69" s="12">
        <f>IF('Vendor Payments'!D67="","",'Vendor Payments'!D67)</f>
        <v/>
      </c>
      <c r="E69" s="21">
        <f>IF('Vendor Payments'!E67="","",'Vendor Payments'!E67)</f>
        <v/>
      </c>
      <c r="F69" s="10">
        <f>IF('Vendor Payments'!F67="","",'Vendor Payments'!F67)</f>
        <v/>
      </c>
      <c r="G69" s="10">
        <f>IF(E69="","",E69-TODAY())</f>
        <v/>
      </c>
      <c r="H69" s="10">
        <f>IF(OR(E69="",Overview!$B$3=""),"",Overview!$B$3-E69)</f>
        <v/>
      </c>
      <c r="I69" s="10">
        <f>IF(AND(E69&lt;&gt;"",E69&lt;TODAY(),F69="Pending"),"Overdue","")</f>
        <v/>
      </c>
    </row>
    <row r="70">
      <c r="A70" s="10">
        <f>IF('Vendor Payments'!A68="","",'Vendor Payments'!A68)</f>
        <v/>
      </c>
      <c r="B70" s="10">
        <f>IF('Vendor Payments'!B68="","",'Vendor Payments'!B68)</f>
        <v/>
      </c>
      <c r="C70" s="10">
        <f>IF('Vendor Payments'!C68="","",'Vendor Payments'!C68)</f>
        <v/>
      </c>
      <c r="D70" s="12">
        <f>IF('Vendor Payments'!D68="","",'Vendor Payments'!D68)</f>
        <v/>
      </c>
      <c r="E70" s="21">
        <f>IF('Vendor Payments'!E68="","",'Vendor Payments'!E68)</f>
        <v/>
      </c>
      <c r="F70" s="10">
        <f>IF('Vendor Payments'!F68="","",'Vendor Payments'!F68)</f>
        <v/>
      </c>
      <c r="G70" s="10">
        <f>IF(E70="","",E70-TODAY())</f>
        <v/>
      </c>
      <c r="H70" s="10">
        <f>IF(OR(E70="",Overview!$B$3=""),"",Overview!$B$3-E70)</f>
        <v/>
      </c>
      <c r="I70" s="10">
        <f>IF(AND(E70&lt;&gt;"",E70&lt;TODAY(),F70="Pending"),"Overdue","")</f>
        <v/>
      </c>
    </row>
    <row r="71">
      <c r="A71" s="10">
        <f>IF('Vendor Payments'!A69="","",'Vendor Payments'!A69)</f>
        <v/>
      </c>
      <c r="B71" s="10">
        <f>IF('Vendor Payments'!B69="","",'Vendor Payments'!B69)</f>
        <v/>
      </c>
      <c r="C71" s="10">
        <f>IF('Vendor Payments'!C69="","",'Vendor Payments'!C69)</f>
        <v/>
      </c>
      <c r="D71" s="12">
        <f>IF('Vendor Payments'!D69="","",'Vendor Payments'!D69)</f>
        <v/>
      </c>
      <c r="E71" s="21">
        <f>IF('Vendor Payments'!E69="","",'Vendor Payments'!E69)</f>
        <v/>
      </c>
      <c r="F71" s="10">
        <f>IF('Vendor Payments'!F69="","",'Vendor Payments'!F69)</f>
        <v/>
      </c>
      <c r="G71" s="10">
        <f>IF(E71="","",E71-TODAY())</f>
        <v/>
      </c>
      <c r="H71" s="10">
        <f>IF(OR(E71="",Overview!$B$3=""),"",Overview!$B$3-E71)</f>
        <v/>
      </c>
      <c r="I71" s="10">
        <f>IF(AND(E71&lt;&gt;"",E71&lt;TODAY(),F71="Pending"),"Overdue","")</f>
        <v/>
      </c>
    </row>
    <row r="72">
      <c r="A72" s="10">
        <f>IF('Vendor Payments'!A70="","",'Vendor Payments'!A70)</f>
        <v/>
      </c>
      <c r="B72" s="10">
        <f>IF('Vendor Payments'!B70="","",'Vendor Payments'!B70)</f>
        <v/>
      </c>
      <c r="C72" s="10">
        <f>IF('Vendor Payments'!C70="","",'Vendor Payments'!C70)</f>
        <v/>
      </c>
      <c r="D72" s="12">
        <f>IF('Vendor Payments'!D70="","",'Vendor Payments'!D70)</f>
        <v/>
      </c>
      <c r="E72" s="21">
        <f>IF('Vendor Payments'!E70="","",'Vendor Payments'!E70)</f>
        <v/>
      </c>
      <c r="F72" s="10">
        <f>IF('Vendor Payments'!F70="","",'Vendor Payments'!F70)</f>
        <v/>
      </c>
      <c r="G72" s="10">
        <f>IF(E72="","",E72-TODAY())</f>
        <v/>
      </c>
      <c r="H72" s="10">
        <f>IF(OR(E72="",Overview!$B$3=""),"",Overview!$B$3-E72)</f>
        <v/>
      </c>
      <c r="I72" s="10">
        <f>IF(AND(E72&lt;&gt;"",E72&lt;TODAY(),F72="Pending"),"Overdue","")</f>
        <v/>
      </c>
    </row>
    <row r="73">
      <c r="A73" s="10">
        <f>IF('Vendor Payments'!A71="","",'Vendor Payments'!A71)</f>
        <v/>
      </c>
      <c r="B73" s="10">
        <f>IF('Vendor Payments'!B71="","",'Vendor Payments'!B71)</f>
        <v/>
      </c>
      <c r="C73" s="10">
        <f>IF('Vendor Payments'!C71="","",'Vendor Payments'!C71)</f>
        <v/>
      </c>
      <c r="D73" s="12">
        <f>IF('Vendor Payments'!D71="","",'Vendor Payments'!D71)</f>
        <v/>
      </c>
      <c r="E73" s="21">
        <f>IF('Vendor Payments'!E71="","",'Vendor Payments'!E71)</f>
        <v/>
      </c>
      <c r="F73" s="10">
        <f>IF('Vendor Payments'!F71="","",'Vendor Payments'!F71)</f>
        <v/>
      </c>
      <c r="G73" s="10">
        <f>IF(E73="","",E73-TODAY())</f>
        <v/>
      </c>
      <c r="H73" s="10">
        <f>IF(OR(E73="",Overview!$B$3=""),"",Overview!$B$3-E73)</f>
        <v/>
      </c>
      <c r="I73" s="10">
        <f>IF(AND(E73&lt;&gt;"",E73&lt;TODAY(),F73="Pending"),"Overdue","")</f>
        <v/>
      </c>
    </row>
    <row r="74">
      <c r="A74" s="10">
        <f>IF('Vendor Payments'!A72="","",'Vendor Payments'!A72)</f>
        <v/>
      </c>
      <c r="B74" s="10">
        <f>IF('Vendor Payments'!B72="","",'Vendor Payments'!B72)</f>
        <v/>
      </c>
      <c r="C74" s="10">
        <f>IF('Vendor Payments'!C72="","",'Vendor Payments'!C72)</f>
        <v/>
      </c>
      <c r="D74" s="12">
        <f>IF('Vendor Payments'!D72="","",'Vendor Payments'!D72)</f>
        <v/>
      </c>
      <c r="E74" s="21">
        <f>IF('Vendor Payments'!E72="","",'Vendor Payments'!E72)</f>
        <v/>
      </c>
      <c r="F74" s="10">
        <f>IF('Vendor Payments'!F72="","",'Vendor Payments'!F72)</f>
        <v/>
      </c>
      <c r="G74" s="10">
        <f>IF(E74="","",E74-TODAY())</f>
        <v/>
      </c>
      <c r="H74" s="10">
        <f>IF(OR(E74="",Overview!$B$3=""),"",Overview!$B$3-E74)</f>
        <v/>
      </c>
      <c r="I74" s="10">
        <f>IF(AND(E74&lt;&gt;"",E74&lt;TODAY(),F74="Pending"),"Overdue","")</f>
        <v/>
      </c>
    </row>
    <row r="75">
      <c r="A75" s="10">
        <f>IF('Vendor Payments'!A73="","",'Vendor Payments'!A73)</f>
        <v/>
      </c>
      <c r="B75" s="10">
        <f>IF('Vendor Payments'!B73="","",'Vendor Payments'!B73)</f>
        <v/>
      </c>
      <c r="C75" s="10">
        <f>IF('Vendor Payments'!C73="","",'Vendor Payments'!C73)</f>
        <v/>
      </c>
      <c r="D75" s="12">
        <f>IF('Vendor Payments'!D73="","",'Vendor Payments'!D73)</f>
        <v/>
      </c>
      <c r="E75" s="21">
        <f>IF('Vendor Payments'!E73="","",'Vendor Payments'!E73)</f>
        <v/>
      </c>
      <c r="F75" s="10">
        <f>IF('Vendor Payments'!F73="","",'Vendor Payments'!F73)</f>
        <v/>
      </c>
      <c r="G75" s="10">
        <f>IF(E75="","",E75-TODAY())</f>
        <v/>
      </c>
      <c r="H75" s="10">
        <f>IF(OR(E75="",Overview!$B$3=""),"",Overview!$B$3-E75)</f>
        <v/>
      </c>
      <c r="I75" s="10">
        <f>IF(AND(E75&lt;&gt;"",E75&lt;TODAY(),F75="Pending"),"Overdue","")</f>
        <v/>
      </c>
    </row>
    <row r="76">
      <c r="A76" s="10">
        <f>IF('Vendor Payments'!A74="","",'Vendor Payments'!A74)</f>
        <v/>
      </c>
      <c r="B76" s="10">
        <f>IF('Vendor Payments'!B74="","",'Vendor Payments'!B74)</f>
        <v/>
      </c>
      <c r="C76" s="10">
        <f>IF('Vendor Payments'!C74="","",'Vendor Payments'!C74)</f>
        <v/>
      </c>
      <c r="D76" s="12">
        <f>IF('Vendor Payments'!D74="","",'Vendor Payments'!D74)</f>
        <v/>
      </c>
      <c r="E76" s="21">
        <f>IF('Vendor Payments'!E74="","",'Vendor Payments'!E74)</f>
        <v/>
      </c>
      <c r="F76" s="10">
        <f>IF('Vendor Payments'!F74="","",'Vendor Payments'!F74)</f>
        <v/>
      </c>
      <c r="G76" s="10">
        <f>IF(E76="","",E76-TODAY())</f>
        <v/>
      </c>
      <c r="H76" s="10">
        <f>IF(OR(E76="",Overview!$B$3=""),"",Overview!$B$3-E76)</f>
        <v/>
      </c>
      <c r="I76" s="10">
        <f>IF(AND(E76&lt;&gt;"",E76&lt;TODAY(),F76="Pending"),"Overdue","")</f>
        <v/>
      </c>
    </row>
    <row r="77">
      <c r="A77" s="10">
        <f>IF('Vendor Payments'!A75="","",'Vendor Payments'!A75)</f>
        <v/>
      </c>
      <c r="B77" s="10">
        <f>IF('Vendor Payments'!B75="","",'Vendor Payments'!B75)</f>
        <v/>
      </c>
      <c r="C77" s="10">
        <f>IF('Vendor Payments'!C75="","",'Vendor Payments'!C75)</f>
        <v/>
      </c>
      <c r="D77" s="12">
        <f>IF('Vendor Payments'!D75="","",'Vendor Payments'!D75)</f>
        <v/>
      </c>
      <c r="E77" s="21">
        <f>IF('Vendor Payments'!E75="","",'Vendor Payments'!E75)</f>
        <v/>
      </c>
      <c r="F77" s="10">
        <f>IF('Vendor Payments'!F75="","",'Vendor Payments'!F75)</f>
        <v/>
      </c>
      <c r="G77" s="10">
        <f>IF(E77="","",E77-TODAY())</f>
        <v/>
      </c>
      <c r="H77" s="10">
        <f>IF(OR(E77="",Overview!$B$3=""),"",Overview!$B$3-E77)</f>
        <v/>
      </c>
      <c r="I77" s="10">
        <f>IF(AND(E77&lt;&gt;"",E77&lt;TODAY(),F77="Pending"),"Overdue","")</f>
        <v/>
      </c>
    </row>
    <row r="78">
      <c r="A78" s="10">
        <f>IF('Vendor Payments'!A76="","",'Vendor Payments'!A76)</f>
        <v/>
      </c>
      <c r="B78" s="10">
        <f>IF('Vendor Payments'!B76="","",'Vendor Payments'!B76)</f>
        <v/>
      </c>
      <c r="C78" s="10">
        <f>IF('Vendor Payments'!C76="","",'Vendor Payments'!C76)</f>
        <v/>
      </c>
      <c r="D78" s="12">
        <f>IF('Vendor Payments'!D76="","",'Vendor Payments'!D76)</f>
        <v/>
      </c>
      <c r="E78" s="21">
        <f>IF('Vendor Payments'!E76="","",'Vendor Payments'!E76)</f>
        <v/>
      </c>
      <c r="F78" s="10">
        <f>IF('Vendor Payments'!F76="","",'Vendor Payments'!F76)</f>
        <v/>
      </c>
      <c r="G78" s="10">
        <f>IF(E78="","",E78-TODAY())</f>
        <v/>
      </c>
      <c r="H78" s="10">
        <f>IF(OR(E78="",Overview!$B$3=""),"",Overview!$B$3-E78)</f>
        <v/>
      </c>
      <c r="I78" s="10">
        <f>IF(AND(E78&lt;&gt;"",E78&lt;TODAY(),F78="Pending"),"Overdue","")</f>
        <v/>
      </c>
    </row>
    <row r="79">
      <c r="A79" s="10">
        <f>IF('Vendor Payments'!A77="","",'Vendor Payments'!A77)</f>
        <v/>
      </c>
      <c r="B79" s="10">
        <f>IF('Vendor Payments'!B77="","",'Vendor Payments'!B77)</f>
        <v/>
      </c>
      <c r="C79" s="10">
        <f>IF('Vendor Payments'!C77="","",'Vendor Payments'!C77)</f>
        <v/>
      </c>
      <c r="D79" s="12">
        <f>IF('Vendor Payments'!D77="","",'Vendor Payments'!D77)</f>
        <v/>
      </c>
      <c r="E79" s="21">
        <f>IF('Vendor Payments'!E77="","",'Vendor Payments'!E77)</f>
        <v/>
      </c>
      <c r="F79" s="10">
        <f>IF('Vendor Payments'!F77="","",'Vendor Payments'!F77)</f>
        <v/>
      </c>
      <c r="G79" s="10">
        <f>IF(E79="","",E79-TODAY())</f>
        <v/>
      </c>
      <c r="H79" s="10">
        <f>IF(OR(E79="",Overview!$B$3=""),"",Overview!$B$3-E79)</f>
        <v/>
      </c>
      <c r="I79" s="10">
        <f>IF(AND(E79&lt;&gt;"",E79&lt;TODAY(),F79="Pending"),"Overdue","")</f>
        <v/>
      </c>
    </row>
    <row r="80">
      <c r="A80" s="10">
        <f>IF('Vendor Payments'!A78="","",'Vendor Payments'!A78)</f>
        <v/>
      </c>
      <c r="B80" s="10">
        <f>IF('Vendor Payments'!B78="","",'Vendor Payments'!B78)</f>
        <v/>
      </c>
      <c r="C80" s="10">
        <f>IF('Vendor Payments'!C78="","",'Vendor Payments'!C78)</f>
        <v/>
      </c>
      <c r="D80" s="12">
        <f>IF('Vendor Payments'!D78="","",'Vendor Payments'!D78)</f>
        <v/>
      </c>
      <c r="E80" s="21">
        <f>IF('Vendor Payments'!E78="","",'Vendor Payments'!E78)</f>
        <v/>
      </c>
      <c r="F80" s="10">
        <f>IF('Vendor Payments'!F78="","",'Vendor Payments'!F78)</f>
        <v/>
      </c>
      <c r="G80" s="10">
        <f>IF(E80="","",E80-TODAY())</f>
        <v/>
      </c>
      <c r="H80" s="10">
        <f>IF(OR(E80="",Overview!$B$3=""),"",Overview!$B$3-E80)</f>
        <v/>
      </c>
      <c r="I80" s="10">
        <f>IF(AND(E80&lt;&gt;"",E80&lt;TODAY(),F80="Pending"),"Overdue","")</f>
        <v/>
      </c>
    </row>
    <row r="81">
      <c r="A81" s="10">
        <f>IF('Vendor Payments'!A79="","",'Vendor Payments'!A79)</f>
        <v/>
      </c>
      <c r="B81" s="10">
        <f>IF('Vendor Payments'!B79="","",'Vendor Payments'!B79)</f>
        <v/>
      </c>
      <c r="C81" s="10">
        <f>IF('Vendor Payments'!C79="","",'Vendor Payments'!C79)</f>
        <v/>
      </c>
      <c r="D81" s="12">
        <f>IF('Vendor Payments'!D79="","",'Vendor Payments'!D79)</f>
        <v/>
      </c>
      <c r="E81" s="21">
        <f>IF('Vendor Payments'!E79="","",'Vendor Payments'!E79)</f>
        <v/>
      </c>
      <c r="F81" s="10">
        <f>IF('Vendor Payments'!F79="","",'Vendor Payments'!F79)</f>
        <v/>
      </c>
      <c r="G81" s="10">
        <f>IF(E81="","",E81-TODAY())</f>
        <v/>
      </c>
      <c r="H81" s="10">
        <f>IF(OR(E81="",Overview!$B$3=""),"",Overview!$B$3-E81)</f>
        <v/>
      </c>
      <c r="I81" s="10">
        <f>IF(AND(E81&lt;&gt;"",E81&lt;TODAY(),F81="Pending"),"Overdue","")</f>
        <v/>
      </c>
    </row>
    <row r="82">
      <c r="A82" s="10">
        <f>IF('Vendor Payments'!A80="","",'Vendor Payments'!A80)</f>
        <v/>
      </c>
      <c r="B82" s="10">
        <f>IF('Vendor Payments'!B80="","",'Vendor Payments'!B80)</f>
        <v/>
      </c>
      <c r="C82" s="10">
        <f>IF('Vendor Payments'!C80="","",'Vendor Payments'!C80)</f>
        <v/>
      </c>
      <c r="D82" s="12">
        <f>IF('Vendor Payments'!D80="","",'Vendor Payments'!D80)</f>
        <v/>
      </c>
      <c r="E82" s="21">
        <f>IF('Vendor Payments'!E80="","",'Vendor Payments'!E80)</f>
        <v/>
      </c>
      <c r="F82" s="10">
        <f>IF('Vendor Payments'!F80="","",'Vendor Payments'!F80)</f>
        <v/>
      </c>
      <c r="G82" s="10">
        <f>IF(E82="","",E82-TODAY())</f>
        <v/>
      </c>
      <c r="H82" s="10">
        <f>IF(OR(E82="",Overview!$B$3=""),"",Overview!$B$3-E82)</f>
        <v/>
      </c>
      <c r="I82" s="10">
        <f>IF(AND(E82&lt;&gt;"",E82&lt;TODAY(),F82="Pending"),"Overdue","")</f>
        <v/>
      </c>
    </row>
    <row r="83">
      <c r="A83" s="10">
        <f>IF('Vendor Payments'!A81="","",'Vendor Payments'!A81)</f>
        <v/>
      </c>
      <c r="B83" s="10">
        <f>IF('Vendor Payments'!B81="","",'Vendor Payments'!B81)</f>
        <v/>
      </c>
      <c r="C83" s="10">
        <f>IF('Vendor Payments'!C81="","",'Vendor Payments'!C81)</f>
        <v/>
      </c>
      <c r="D83" s="12">
        <f>IF('Vendor Payments'!D81="","",'Vendor Payments'!D81)</f>
        <v/>
      </c>
      <c r="E83" s="21">
        <f>IF('Vendor Payments'!E81="","",'Vendor Payments'!E81)</f>
        <v/>
      </c>
      <c r="F83" s="10">
        <f>IF('Vendor Payments'!F81="","",'Vendor Payments'!F81)</f>
        <v/>
      </c>
      <c r="G83" s="10">
        <f>IF(E83="","",E83-TODAY())</f>
        <v/>
      </c>
      <c r="H83" s="10">
        <f>IF(OR(E83="",Overview!$B$3=""),"",Overview!$B$3-E83)</f>
        <v/>
      </c>
      <c r="I83" s="10">
        <f>IF(AND(E83&lt;&gt;"",E83&lt;TODAY(),F83="Pending"),"Overdue","")</f>
        <v/>
      </c>
    </row>
  </sheetData>
  <mergeCells count="1">
    <mergeCell ref="A2:I2"/>
  </mergeCells>
  <pageMargins left="0.75" right="0.75" top="1" bottom="1" header="0.5" footer="0.5"/>
  <pageSetup orientation="portrait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3" customWidth="1" min="5" max="5"/>
  </cols>
  <sheetData>
    <row r="1">
      <c r="A1" s="5" t="inlineStr">
        <is>
          <t>Budget vs Actual</t>
        </is>
      </c>
    </row>
    <row r="2">
      <c r="A2" s="9" t="inlineStr">
        <is>
          <t>Category</t>
        </is>
      </c>
      <c r="B2" s="9" t="inlineStr">
        <is>
          <t>Budgeted ($)</t>
        </is>
      </c>
      <c r="C2" s="9" t="inlineStr">
        <is>
          <t>Actual Paid ($)</t>
        </is>
      </c>
      <c r="D2" s="9" t="inlineStr">
        <is>
          <t>Difference ($)</t>
        </is>
      </c>
      <c r="E2" s="9" t="inlineStr">
        <is>
          <t>Flag</t>
        </is>
      </c>
    </row>
    <row r="3">
      <c r="A3" s="10" t="inlineStr">
        <is>
          <t>Venue &amp; Rentals</t>
        </is>
      </c>
      <c r="B3" s="12">
        <f>'Category Budget'!C3</f>
        <v/>
      </c>
      <c r="C3" s="12">
        <f>SUMIFS('Vendor Payments'!$D$2:$D$81,'Vendor Payments'!$B$2:$B$81,$A3,'Vendor Payments'!$F$2:$F$81,"Paid")</f>
        <v/>
      </c>
      <c r="D3" s="12">
        <f>IF(OR(B3="",C3=""),"",C3-B3)</f>
        <v/>
      </c>
      <c r="E3" s="10">
        <f>IF(AND(D3&lt;&gt;"",D3&gt;0),"Over budget","")</f>
        <v/>
      </c>
    </row>
    <row r="4">
      <c r="A4" s="10" t="inlineStr">
        <is>
          <t>Catering &amp; Beverages</t>
        </is>
      </c>
      <c r="B4" s="12">
        <f>'Category Budget'!C4</f>
        <v/>
      </c>
      <c r="C4" s="12">
        <f>SUMIFS('Vendor Payments'!$D$2:$D$81,'Vendor Payments'!$B$2:$B$81,$A4,'Vendor Payments'!$F$2:$F$81,"Paid")</f>
        <v/>
      </c>
      <c r="D4" s="12">
        <f>IF(OR(B4="",C4=""),"",C4-B4)</f>
        <v/>
      </c>
      <c r="E4" s="10">
        <f>IF(AND(D4&lt;&gt;"",D4&gt;0),"Over budget","")</f>
        <v/>
      </c>
    </row>
    <row r="5">
      <c r="A5" s="10" t="inlineStr">
        <is>
          <t>Photography</t>
        </is>
      </c>
      <c r="B5" s="12">
        <f>'Category Budget'!C5</f>
        <v/>
      </c>
      <c r="C5" s="12">
        <f>SUMIFS('Vendor Payments'!$D$2:$D$81,'Vendor Payments'!$B$2:$B$81,$A5,'Vendor Payments'!$F$2:$F$81,"Paid")</f>
        <v/>
      </c>
      <c r="D5" s="12">
        <f>IF(OR(B5="",C5=""),"",C5-B5)</f>
        <v/>
      </c>
      <c r="E5" s="10">
        <f>IF(AND(D5&lt;&gt;"",D5&gt;0),"Over budget","")</f>
        <v/>
      </c>
    </row>
    <row r="6">
      <c r="A6" s="10" t="inlineStr">
        <is>
          <t>Videography</t>
        </is>
      </c>
      <c r="B6" s="12">
        <f>'Category Budget'!C6</f>
        <v/>
      </c>
      <c r="C6" s="12">
        <f>SUMIFS('Vendor Payments'!$D$2:$D$81,'Vendor Payments'!$B$2:$B$81,$A6,'Vendor Payments'!$F$2:$F$81,"Paid")</f>
        <v/>
      </c>
      <c r="D6" s="12">
        <f>IF(OR(B6="",C6=""),"",C6-B6)</f>
        <v/>
      </c>
      <c r="E6" s="10">
        <f>IF(AND(D6&lt;&gt;"",D6&gt;0),"Over budget","")</f>
        <v/>
      </c>
    </row>
    <row r="7">
      <c r="A7" s="10" t="inlineStr">
        <is>
          <t>Music &amp; Entertainment</t>
        </is>
      </c>
      <c r="B7" s="12">
        <f>'Category Budget'!C7</f>
        <v/>
      </c>
      <c r="C7" s="12">
        <f>SUMIFS('Vendor Payments'!$D$2:$D$81,'Vendor Payments'!$B$2:$B$81,$A7,'Vendor Payments'!$F$2:$F$81,"Paid")</f>
        <v/>
      </c>
      <c r="D7" s="12">
        <f>IF(OR(B7="",C7=""),"",C7-B7)</f>
        <v/>
      </c>
      <c r="E7" s="10">
        <f>IF(AND(D7&lt;&gt;"",D7&gt;0),"Over budget","")</f>
        <v/>
      </c>
    </row>
    <row r="8">
      <c r="A8" s="10" t="inlineStr">
        <is>
          <t>Flowers &amp; Decor</t>
        </is>
      </c>
      <c r="B8" s="12">
        <f>'Category Budget'!C8</f>
        <v/>
      </c>
      <c r="C8" s="12">
        <f>SUMIFS('Vendor Payments'!$D$2:$D$81,'Vendor Payments'!$B$2:$B$81,$A8,'Vendor Payments'!$F$2:$F$81,"Paid")</f>
        <v/>
      </c>
      <c r="D8" s="12">
        <f>IF(OR(B8="",C8=""),"",C8-B8)</f>
        <v/>
      </c>
      <c r="E8" s="10">
        <f>IF(AND(D8&lt;&gt;"",D8&gt;0),"Over budget","")</f>
        <v/>
      </c>
    </row>
    <row r="9">
      <c r="A9" s="10" t="inlineStr">
        <is>
          <t>Attire &amp; Accessories</t>
        </is>
      </c>
      <c r="B9" s="12">
        <f>'Category Budget'!C9</f>
        <v/>
      </c>
      <c r="C9" s="12">
        <f>SUMIFS('Vendor Payments'!$D$2:$D$81,'Vendor Payments'!$B$2:$B$81,$A9,'Vendor Payments'!$F$2:$F$81,"Paid")</f>
        <v/>
      </c>
      <c r="D9" s="12">
        <f>IF(OR(B9="",C9=""),"",C9-B9)</f>
        <v/>
      </c>
      <c r="E9" s="10">
        <f>IF(AND(D9&lt;&gt;"",D9&gt;0),"Over budget","")</f>
        <v/>
      </c>
    </row>
    <row r="10">
      <c r="A10" s="10" t="inlineStr">
        <is>
          <t>Rings &amp; Jewelry</t>
        </is>
      </c>
      <c r="B10" s="12">
        <f>'Category Budget'!C10</f>
        <v/>
      </c>
      <c r="C10" s="12">
        <f>SUMIFS('Vendor Payments'!$D$2:$D$81,'Vendor Payments'!$B$2:$B$81,$A10,'Vendor Payments'!$F$2:$F$81,"Paid")</f>
        <v/>
      </c>
      <c r="D10" s="12">
        <f>IF(OR(B10="",C10=""),"",C10-B10)</f>
        <v/>
      </c>
      <c r="E10" s="10">
        <f>IF(AND(D10&lt;&gt;"",D10&gt;0),"Over budget","")</f>
        <v/>
      </c>
    </row>
    <row r="11">
      <c r="A11" s="10" t="inlineStr">
        <is>
          <t>Stationery &amp; Invitations</t>
        </is>
      </c>
      <c r="B11" s="12">
        <f>'Category Budget'!C11</f>
        <v/>
      </c>
      <c r="C11" s="12">
        <f>SUMIFS('Vendor Payments'!$D$2:$D$81,'Vendor Payments'!$B$2:$B$81,$A11,'Vendor Payments'!$F$2:$F$81,"Paid")</f>
        <v/>
      </c>
      <c r="D11" s="12">
        <f>IF(OR(B11="",C11=""),"",C11-B11)</f>
        <v/>
      </c>
      <c r="E11" s="10">
        <f>IF(AND(D11&lt;&gt;"",D11&gt;0),"Over budget","")</f>
        <v/>
      </c>
    </row>
    <row r="12">
      <c r="A12" s="10" t="inlineStr">
        <is>
          <t>Cake &amp; Desserts</t>
        </is>
      </c>
      <c r="B12" s="12">
        <f>'Category Budget'!C12</f>
        <v/>
      </c>
      <c r="C12" s="12">
        <f>SUMIFS('Vendor Payments'!$D$2:$D$81,'Vendor Payments'!$B$2:$B$81,$A12,'Vendor Payments'!$F$2:$F$81,"Paid")</f>
        <v/>
      </c>
      <c r="D12" s="12">
        <f>IF(OR(B12="",C12=""),"",C12-B12)</f>
        <v/>
      </c>
      <c r="E12" s="10">
        <f>IF(AND(D12&lt;&gt;"",D12&gt;0),"Over budget","")</f>
        <v/>
      </c>
    </row>
    <row r="13">
      <c r="A13" s="10" t="inlineStr">
        <is>
          <t>Transportation</t>
        </is>
      </c>
      <c r="B13" s="12">
        <f>'Category Budget'!C13</f>
        <v/>
      </c>
      <c r="C13" s="12">
        <f>SUMIFS('Vendor Payments'!$D$2:$D$81,'Vendor Payments'!$B$2:$B$81,$A13,'Vendor Payments'!$F$2:$F$81,"Paid")</f>
        <v/>
      </c>
      <c r="D13" s="12">
        <f>IF(OR(B13="",C13=""),"",C13-B13)</f>
        <v/>
      </c>
      <c r="E13" s="10">
        <f>IF(AND(D13&lt;&gt;"",D13&gt;0),"Over budget","")</f>
        <v/>
      </c>
    </row>
    <row r="14">
      <c r="A14" s="10" t="inlineStr">
        <is>
          <t>Officiant &amp; Ceremony</t>
        </is>
      </c>
      <c r="B14" s="12">
        <f>'Category Budget'!C14</f>
        <v/>
      </c>
      <c r="C14" s="12">
        <f>SUMIFS('Vendor Payments'!$D$2:$D$81,'Vendor Payments'!$B$2:$B$81,$A14,'Vendor Payments'!$F$2:$F$81,"Paid")</f>
        <v/>
      </c>
      <c r="D14" s="12">
        <f>IF(OR(B14="",C14=""),"",C14-B14)</f>
        <v/>
      </c>
      <c r="E14" s="10">
        <f>IF(AND(D14&lt;&gt;"",D14&gt;0),"Over budget","")</f>
        <v/>
      </c>
    </row>
    <row r="15">
      <c r="A15" s="10" t="inlineStr">
        <is>
          <t>Hair &amp; Makeup</t>
        </is>
      </c>
      <c r="B15" s="12">
        <f>'Category Budget'!C15</f>
        <v/>
      </c>
      <c r="C15" s="12">
        <f>SUMIFS('Vendor Payments'!$D$2:$D$81,'Vendor Payments'!$B$2:$B$81,$A15,'Vendor Payments'!$F$2:$F$81,"Paid")</f>
        <v/>
      </c>
      <c r="D15" s="12">
        <f>IF(OR(B15="",C15=""),"",C15-B15)</f>
        <v/>
      </c>
      <c r="E15" s="10">
        <f>IF(AND(D15&lt;&gt;"",D15&gt;0),"Over budget","")</f>
        <v/>
      </c>
    </row>
    <row r="16">
      <c r="A16" s="10" t="inlineStr">
        <is>
          <t>Favors &amp; Gifts</t>
        </is>
      </c>
      <c r="B16" s="12">
        <f>'Category Budget'!C16</f>
        <v/>
      </c>
      <c r="C16" s="12">
        <f>SUMIFS('Vendor Payments'!$D$2:$D$81,'Vendor Payments'!$B$2:$B$81,$A16,'Vendor Payments'!$F$2:$F$81,"Paid")</f>
        <v/>
      </c>
      <c r="D16" s="12">
        <f>IF(OR(B16="",C16=""),"",C16-B16)</f>
        <v/>
      </c>
      <c r="E16" s="10">
        <f>IF(AND(D16&lt;&gt;"",D16&gt;0),"Over budget","")</f>
        <v/>
      </c>
    </row>
    <row r="17">
      <c r="A17" s="10" t="inlineStr">
        <is>
          <t>Rehearsal Dinner</t>
        </is>
      </c>
      <c r="B17" s="12">
        <f>'Category Budget'!C17</f>
        <v/>
      </c>
      <c r="C17" s="12">
        <f>SUMIFS('Vendor Payments'!$D$2:$D$81,'Vendor Payments'!$B$2:$B$81,$A17,'Vendor Payments'!$F$2:$F$81,"Paid")</f>
        <v/>
      </c>
      <c r="D17" s="12">
        <f>IF(OR(B17="",C17=""),"",C17-B17)</f>
        <v/>
      </c>
      <c r="E17" s="10">
        <f>IF(AND(D17&lt;&gt;"",D17&gt;0),"Over budget","")</f>
        <v/>
      </c>
    </row>
    <row r="18">
      <c r="A18" s="13" t="inlineStr">
        <is>
          <t>Total</t>
        </is>
      </c>
      <c r="B18" s="15">
        <f>SUM(B3:B17)</f>
        <v/>
      </c>
      <c r="C18" s="15">
        <f>SUM(C3:C17)</f>
        <v/>
      </c>
      <c r="D18" s="15">
        <f>SUM(D3:D17)</f>
        <v/>
      </c>
    </row>
    <row r="20">
      <c r="A20" s="9" t="inlineStr">
        <is>
          <t>Custom categories</t>
        </is>
      </c>
      <c r="B20" s="9" t="inlineStr">
        <is>
          <t>Budgeted ($)</t>
        </is>
      </c>
      <c r="C20" s="9" t="inlineStr">
        <is>
          <t>Actual Paid ($)</t>
        </is>
      </c>
      <c r="D20" s="9" t="inlineStr">
        <is>
          <t>Difference ($)</t>
        </is>
      </c>
      <c r="E20" s="9" t="inlineStr">
        <is>
          <t>Flag</t>
        </is>
      </c>
    </row>
    <row r="21">
      <c r="A21" s="10">
        <f>IF('Custom &amp; Notes'!A3="","",'Custom &amp; Notes'!A3)</f>
        <v/>
      </c>
      <c r="B21" s="12">
        <f>IF($A21="","",'Custom &amp; Notes'!B3)</f>
        <v/>
      </c>
      <c r="C21" s="12">
        <f>IF($A21="","",SUMIFS('Vendor Payments'!$D$2:$D$81,'Vendor Payments'!$B$2:$B$81,$A21,'Vendor Payments'!$F$2:$F$81,"Paid"))</f>
        <v/>
      </c>
      <c r="D21" s="12">
        <f>IF(OR(B21="",C21=""),"",C21-B21)</f>
        <v/>
      </c>
      <c r="E21" s="10">
        <f>IF(AND(D21&lt;&gt;"",D21&gt;0),"Over budget","")</f>
        <v/>
      </c>
    </row>
    <row r="22">
      <c r="A22" s="10">
        <f>IF('Custom &amp; Notes'!A4="","",'Custom &amp; Notes'!A4)</f>
        <v/>
      </c>
      <c r="B22" s="12">
        <f>IF($A22="","",'Custom &amp; Notes'!B4)</f>
        <v/>
      </c>
      <c r="C22" s="12">
        <f>IF($A22="","",SUMIFS('Vendor Payments'!$D$2:$D$81,'Vendor Payments'!$B$2:$B$81,$A22,'Vendor Payments'!$F$2:$F$81,"Paid"))</f>
        <v/>
      </c>
      <c r="D22" s="12">
        <f>IF(OR(B22="",C22=""),"",C22-B22)</f>
        <v/>
      </c>
      <c r="E22" s="10">
        <f>IF(AND(D22&lt;&gt;"",D22&gt;0),"Over budget","")</f>
        <v/>
      </c>
    </row>
    <row r="23">
      <c r="A23" s="10">
        <f>IF('Custom &amp; Notes'!A5="","",'Custom &amp; Notes'!A5)</f>
        <v/>
      </c>
      <c r="B23" s="12">
        <f>IF($A23="","",'Custom &amp; Notes'!B5)</f>
        <v/>
      </c>
      <c r="C23" s="12">
        <f>IF($A23="","",SUMIFS('Vendor Payments'!$D$2:$D$81,'Vendor Payments'!$B$2:$B$81,$A23,'Vendor Payments'!$F$2:$F$81,"Paid"))</f>
        <v/>
      </c>
      <c r="D23" s="12">
        <f>IF(OR(B23="",C23=""),"",C23-B23)</f>
        <v/>
      </c>
      <c r="E23" s="10">
        <f>IF(AND(D23&lt;&gt;"",D23&gt;0),"Over budget","")</f>
        <v/>
      </c>
    </row>
    <row r="24">
      <c r="A24" s="10">
        <f>IF('Custom &amp; Notes'!A6="","",'Custom &amp; Notes'!A6)</f>
        <v/>
      </c>
      <c r="B24" s="12">
        <f>IF($A24="","",'Custom &amp; Notes'!B6)</f>
        <v/>
      </c>
      <c r="C24" s="12">
        <f>IF($A24="","",SUMIFS('Vendor Payments'!$D$2:$D$81,'Vendor Payments'!$B$2:$B$81,$A24,'Vendor Payments'!$F$2:$F$81,"Paid"))</f>
        <v/>
      </c>
      <c r="D24" s="12">
        <f>IF(OR(B24="",C24=""),"",C24-B24)</f>
        <v/>
      </c>
      <c r="E24" s="10">
        <f>IF(AND(D24&lt;&gt;"",D24&gt;0),"Over budget","")</f>
        <v/>
      </c>
    </row>
    <row r="25">
      <c r="A25" s="10">
        <f>IF('Custom &amp; Notes'!A7="","",'Custom &amp; Notes'!A7)</f>
        <v/>
      </c>
      <c r="B25" s="12">
        <f>IF($A25="","",'Custom &amp; Notes'!B7)</f>
        <v/>
      </c>
      <c r="C25" s="12">
        <f>IF($A25="","",SUMIFS('Vendor Payments'!$D$2:$D$81,'Vendor Payments'!$B$2:$B$81,$A25,'Vendor Payments'!$F$2:$F$81,"Paid"))</f>
        <v/>
      </c>
      <c r="D25" s="12">
        <f>IF(OR(B25="",C25=""),"",C25-B25)</f>
        <v/>
      </c>
      <c r="E25" s="10">
        <f>IF(AND(D25&lt;&gt;"",D25&gt;0),"Over budget","")</f>
        <v/>
      </c>
    </row>
    <row r="26">
      <c r="A26" s="13" t="inlineStr">
        <is>
          <t>Total</t>
        </is>
      </c>
      <c r="B26" s="15">
        <f>SUM(B21:B25)</f>
        <v/>
      </c>
      <c r="C26" s="15">
        <f>SUM(C21:C25)</f>
        <v/>
      </c>
      <c r="D26" s="15">
        <f>SUM(D21:D25)</f>
        <v/>
      </c>
    </row>
    <row r="28">
      <c r="A28" s="6" t="inlineStr">
        <is>
          <t>Grand total</t>
        </is>
      </c>
      <c r="B28" s="19">
        <f>B18+B26</f>
        <v/>
      </c>
      <c r="C28" s="19">
        <f>C18+C26</f>
        <v/>
      </c>
      <c r="D28" s="19">
        <f>D18+D26</f>
        <v/>
      </c>
    </row>
  </sheetData>
  <pageMargins left="0.75" right="0.75" top="1" bottom="1" header="0.5" footer="0.5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Custom Categories &amp; Notes</t>
        </is>
      </c>
    </row>
    <row r="2">
      <c r="A2" s="9" t="inlineStr">
        <is>
          <t>Custom Category</t>
        </is>
      </c>
      <c r="B2" s="9" t="inlineStr">
        <is>
          <t>Budgeted ($)</t>
        </is>
      </c>
      <c r="C2" s="9" t="inlineStr">
        <is>
          <t>Paid ($)</t>
        </is>
      </c>
      <c r="D2" s="9" t="inlineStr">
        <is>
          <t>Pending ($)</t>
        </is>
      </c>
      <c r="E2" s="9" t="inlineStr">
        <is>
          <t>Remaining ($)</t>
        </is>
      </c>
    </row>
    <row r="3">
      <c r="A3" s="18" t="n"/>
      <c r="B3" s="7" t="n"/>
      <c r="C3" s="12">
        <f>IF($A3="","",SUMIFS('Vendor Payments'!$D$2:$D$81,'Vendor Payments'!$B$2:$B$81,$A3,'Vendor Payments'!$F$2:$F$81,"Paid"))</f>
        <v/>
      </c>
      <c r="D3" s="12">
        <f>IF($A3="","",SUMIFS('Vendor Payments'!$D$2:$D$81,'Vendor Payments'!$B$2:$B$81,$A3,'Vendor Payments'!$F$2:$F$81,"Pending"))</f>
        <v/>
      </c>
      <c r="E3" s="12">
        <f>IF(OR($A3="",$B3=""),"",$B3-$C3)</f>
        <v/>
      </c>
    </row>
    <row r="4">
      <c r="A4" s="18" t="n"/>
      <c r="B4" s="7" t="n"/>
      <c r="C4" s="12">
        <f>IF($A4="","",SUMIFS('Vendor Payments'!$D$2:$D$81,'Vendor Payments'!$B$2:$B$81,$A4,'Vendor Payments'!$F$2:$F$81,"Paid"))</f>
        <v/>
      </c>
      <c r="D4" s="12">
        <f>IF($A4="","",SUMIFS('Vendor Payments'!$D$2:$D$81,'Vendor Payments'!$B$2:$B$81,$A4,'Vendor Payments'!$F$2:$F$81,"Pending"))</f>
        <v/>
      </c>
      <c r="E4" s="12">
        <f>IF(OR($A4="",$B4=""),"",$B4-$C4)</f>
        <v/>
      </c>
    </row>
    <row r="5">
      <c r="A5" s="18" t="n"/>
      <c r="B5" s="7" t="n"/>
      <c r="C5" s="12">
        <f>IF($A5="","",SUMIFS('Vendor Payments'!$D$2:$D$81,'Vendor Payments'!$B$2:$B$81,$A5,'Vendor Payments'!$F$2:$F$81,"Paid"))</f>
        <v/>
      </c>
      <c r="D5" s="12">
        <f>IF($A5="","",SUMIFS('Vendor Payments'!$D$2:$D$81,'Vendor Payments'!$B$2:$B$81,$A5,'Vendor Payments'!$F$2:$F$81,"Pending"))</f>
        <v/>
      </c>
      <c r="E5" s="12">
        <f>IF(OR($A5="",$B5=""),"",$B5-$C5)</f>
        <v/>
      </c>
    </row>
    <row r="6">
      <c r="A6" s="18" t="n"/>
      <c r="B6" s="7" t="n"/>
      <c r="C6" s="12">
        <f>IF($A6="","",SUMIFS('Vendor Payments'!$D$2:$D$81,'Vendor Payments'!$B$2:$B$81,$A6,'Vendor Payments'!$F$2:$F$81,"Paid"))</f>
        <v/>
      </c>
      <c r="D6" s="12">
        <f>IF($A6="","",SUMIFS('Vendor Payments'!$D$2:$D$81,'Vendor Payments'!$B$2:$B$81,$A6,'Vendor Payments'!$F$2:$F$81,"Pending"))</f>
        <v/>
      </c>
      <c r="E6" s="12">
        <f>IF(OR($A6="",$B6=""),"",$B6-$C6)</f>
        <v/>
      </c>
    </row>
    <row r="7">
      <c r="A7" s="18" t="n"/>
      <c r="B7" s="7" t="n"/>
      <c r="C7" s="12">
        <f>IF($A7="","",SUMIFS('Vendor Payments'!$D$2:$D$81,'Vendor Payments'!$B$2:$B$81,$A7,'Vendor Payments'!$F$2:$F$81,"Paid"))</f>
        <v/>
      </c>
      <c r="D7" s="12">
        <f>IF($A7="","",SUMIFS('Vendor Payments'!$D$2:$D$81,'Vendor Payments'!$B$2:$B$81,$A7,'Vendor Payments'!$F$2:$F$81,"Pending"))</f>
        <v/>
      </c>
      <c r="E7" s="12">
        <f>IF(OR($A7="",$B7=""),"",$B7-$C7)</f>
        <v/>
      </c>
    </row>
    <row r="8">
      <c r="A8" s="13" t="inlineStr">
        <is>
          <t>Total</t>
        </is>
      </c>
      <c r="B8" s="15">
        <f>SUM(B3:B7)</f>
        <v/>
      </c>
      <c r="C8" s="15">
        <f>SUM(C3:C7)</f>
        <v/>
      </c>
      <c r="D8" s="15">
        <f>SUM(D3:D7)</f>
        <v/>
      </c>
      <c r="E8" s="15">
        <f>SUM(E3:E7)</f>
        <v/>
      </c>
    </row>
    <row r="10">
      <c r="A10" s="6" t="inlineStr">
        <is>
          <t>Contingency (reserve)</t>
        </is>
      </c>
    </row>
    <row r="11">
      <c r="A11" s="10" t="inlineStr">
        <is>
          <t>Contingency rate</t>
        </is>
      </c>
      <c r="B11" s="11" t="n"/>
    </row>
    <row r="12">
      <c r="A12" s="10" t="inlineStr">
        <is>
          <t>Contingency amount ($)</t>
        </is>
      </c>
      <c r="B12" s="12">
        <f>IF(OR($B$11="",Overview!$B$2=""),"",ROUND(Overview!$B$2*$B$11,2))</f>
        <v/>
      </c>
    </row>
    <row r="13">
      <c r="A13" s="20" t="inlineStr">
        <is>
          <t>Contingency is a reserve, not spending. It is not included in Paid or Pending totals.</t>
        </is>
      </c>
    </row>
    <row r="15">
      <c r="A15" s="6" t="inlineStr">
        <is>
          <t>Notes</t>
        </is>
      </c>
    </row>
    <row r="16" ht="24" customHeight="1">
      <c r="A16" s="22" t="n"/>
    </row>
    <row r="17" ht="24" customHeight="1">
      <c r="A17" s="22" t="n"/>
    </row>
    <row r="18" ht="24" customHeight="1">
      <c r="A18" s="22" t="n"/>
    </row>
    <row r="19" ht="24" customHeight="1">
      <c r="A19" s="22" t="n"/>
    </row>
    <row r="20" ht="24" customHeight="1">
      <c r="A20" s="22" t="n"/>
    </row>
    <row r="21" ht="24" customHeight="1">
      <c r="A21" s="22" t="n"/>
    </row>
    <row r="22" ht="24" customHeight="1">
      <c r="A22" s="22" t="n"/>
    </row>
    <row r="23" ht="24" customHeight="1">
      <c r="A23" s="22" t="n"/>
    </row>
    <row r="24" ht="24" customHeight="1">
      <c r="A24" s="22" t="n"/>
    </row>
    <row r="25" ht="24" customHeight="1">
      <c r="A25" s="22" t="n"/>
    </row>
    <row r="26" ht="24" customHeight="1">
      <c r="A26" s="22" t="n"/>
    </row>
    <row r="27" ht="24" customHeight="1">
      <c r="A27" s="22" t="n"/>
    </row>
    <row r="28" ht="24" customHeight="1">
      <c r="A28" s="22" t="n"/>
    </row>
    <row r="29" ht="24" customHeight="1">
      <c r="A29" s="22" t="n"/>
    </row>
    <row r="30" ht="24" customHeight="1">
      <c r="A30" s="22" t="n"/>
    </row>
    <row r="31" ht="24" customHeight="1">
      <c r="A31" s="22" t="n"/>
    </row>
    <row r="32" ht="24" customHeight="1">
      <c r="A32" s="22" t="n"/>
    </row>
    <row r="33" ht="24" customHeight="1">
      <c r="A33" s="22" t="n"/>
    </row>
    <row r="34" ht="24" customHeight="1">
      <c r="A34" s="22" t="n"/>
    </row>
    <row r="35" ht="24" customHeight="1">
      <c r="A35" s="22" t="n"/>
    </row>
  </sheetData>
  <mergeCells count="21">
    <mergeCell ref="A30:E30"/>
    <mergeCell ref="A34:E34"/>
    <mergeCell ref="A24:E24"/>
    <mergeCell ref="A16:E16"/>
    <mergeCell ref="A25:E25"/>
    <mergeCell ref="A18:E18"/>
    <mergeCell ref="A27:E27"/>
    <mergeCell ref="A21:E21"/>
    <mergeCell ref="A26:E26"/>
    <mergeCell ref="A33:E33"/>
    <mergeCell ref="A23:E23"/>
    <mergeCell ref="A32:E32"/>
    <mergeCell ref="A22:E22"/>
    <mergeCell ref="A17:E17"/>
    <mergeCell ref="A29:E29"/>
    <mergeCell ref="A35:E35"/>
    <mergeCell ref="A20:E20"/>
    <mergeCell ref="A28:E28"/>
    <mergeCell ref="A19:E19"/>
    <mergeCell ref="A13:E13"/>
    <mergeCell ref="A31:E31"/>
  </mergeCells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2026-10-25T06:53:13+00:00Z</dcterms:created>
  <dcterms:modified xmlns:dcterms="http://purl.org/dc/terms/" xmlns:xsi="http://www.w3.org/2001/XMLSchema-instance" xsi:type="dcterms:W3CDTF">2026-10-25T06:53:13+00:00Z</dcterms:modified>
</cp:coreProperties>
</file>